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dncom\Desktop\0307 HM 호텔나루 (호흡기)-김우현PM\교통비\"/>
    </mc:Choice>
  </mc:AlternateContent>
  <xr:revisionPtr revIDLastSave="0" documentId="13_ncr:1_{D1709578-67D6-4BFD-BE0D-0C3A20972B4D}" xr6:coauthVersionLast="47" xr6:coauthVersionMax="47" xr10:uidLastSave="{00000000-0000-0000-0000-000000000000}"/>
  <bookViews>
    <workbookView xWindow="7800" yWindow="450" windowWidth="18345" windowHeight="14310" xr2:uid="{00000000-000D-0000-FFFF-FFFF00000000}"/>
  </bookViews>
  <sheets>
    <sheet name="교통비" sheetId="1" r:id="rId1"/>
    <sheet name="Sheet2" sheetId="3" state="hidden" r:id="rId2"/>
    <sheet name="Sheet1" sheetId="4" state="hidden" r:id="rId3"/>
    <sheet name="Sheet3" sheetId="5" state="hidden" r:id="rId4"/>
    <sheet name="Sheet4" sheetId="8" state="hidden" r:id="rId5"/>
  </sheets>
  <definedNames>
    <definedName name="_xlnm._FilterDatabase" localSheetId="0" hidden="1">교통비!$A$4:$AB$115</definedName>
    <definedName name="_xlnm.Print_Area" localSheetId="0">교통비!$A$1:$P$114</definedName>
    <definedName name="_xlnm.Print_Titles" localSheetId="0">교통비!$3:$4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3" i="1" l="1"/>
  <c r="M69" i="1"/>
  <c r="L69" i="1"/>
  <c r="L27" i="1" l="1"/>
  <c r="L47" i="1"/>
  <c r="L114" i="1"/>
  <c r="M114" i="1" s="1"/>
  <c r="M67" i="1"/>
  <c r="L67" i="1"/>
  <c r="L31" i="1"/>
  <c r="M68" i="1"/>
  <c r="L68" i="1"/>
  <c r="L60" i="1"/>
  <c r="L37" i="1"/>
  <c r="L35" i="1"/>
  <c r="M83" i="1"/>
  <c r="L83" i="1"/>
  <c r="M94" i="1"/>
  <c r="L94" i="1"/>
  <c r="L80" i="1"/>
  <c r="M24" i="1"/>
  <c r="L24" i="1"/>
  <c r="M98" i="1"/>
  <c r="L98" i="1"/>
  <c r="M104" i="1"/>
  <c r="L104" i="1"/>
  <c r="L20" i="1"/>
  <c r="M20" i="1" s="1"/>
  <c r="L21" i="1"/>
  <c r="M21" i="1" s="1"/>
  <c r="M65" i="1"/>
  <c r="L65" i="1"/>
  <c r="L43" i="1"/>
  <c r="L108" i="1"/>
  <c r="L78" i="1"/>
  <c r="L39" i="1"/>
  <c r="M39" i="1" s="1"/>
  <c r="M95" i="1"/>
  <c r="L95" i="1"/>
  <c r="L75" i="1"/>
  <c r="L90" i="1"/>
  <c r="L38" i="1"/>
  <c r="L57" i="1"/>
  <c r="M57" i="1" s="1"/>
  <c r="L33" i="1"/>
  <c r="K88" i="1"/>
  <c r="K89" i="1"/>
  <c r="M89" i="1" s="1"/>
  <c r="K90" i="1"/>
  <c r="M90" i="1" s="1"/>
  <c r="K91" i="1"/>
  <c r="L101" i="1"/>
  <c r="M13" i="1"/>
  <c r="L13" i="1"/>
  <c r="L10" i="1"/>
  <c r="M10" i="1" s="1"/>
  <c r="L100" i="1"/>
  <c r="L34" i="1"/>
  <c r="M34" i="1" s="1"/>
  <c r="L26" i="1"/>
  <c r="L8" i="1"/>
  <c r="L30" i="1"/>
  <c r="K16" i="1"/>
  <c r="K17" i="1"/>
  <c r="K18" i="1"/>
  <c r="K19" i="1"/>
  <c r="K20" i="1"/>
  <c r="K21" i="1"/>
  <c r="K22" i="1"/>
  <c r="K23" i="1"/>
  <c r="K24" i="1"/>
  <c r="K25" i="1"/>
  <c r="K27" i="1"/>
  <c r="K28" i="1"/>
  <c r="K29" i="1"/>
  <c r="K30" i="1"/>
  <c r="M30" i="1" s="1"/>
  <c r="K31" i="1"/>
  <c r="M31" i="1" s="1"/>
  <c r="K32" i="1"/>
  <c r="K33" i="1"/>
  <c r="M33" i="1" s="1"/>
  <c r="K34" i="1"/>
  <c r="K35" i="1"/>
  <c r="M35" i="1" s="1"/>
  <c r="K36" i="1"/>
  <c r="K37" i="1"/>
  <c r="M37" i="1" s="1"/>
  <c r="K38" i="1"/>
  <c r="M38" i="1" s="1"/>
  <c r="K39" i="1"/>
  <c r="K41" i="1"/>
  <c r="K42" i="1"/>
  <c r="K43" i="1"/>
  <c r="M43" i="1" s="1"/>
  <c r="K44" i="1"/>
  <c r="K45" i="1"/>
  <c r="K46" i="1"/>
  <c r="M46" i="1" s="1"/>
  <c r="K47" i="1"/>
  <c r="M47" i="1" s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M60" i="1" s="1"/>
  <c r="K61" i="1"/>
  <c r="K62" i="1"/>
  <c r="K63" i="1"/>
  <c r="M63" i="1" s="1"/>
  <c r="K64" i="1"/>
  <c r="K65" i="1"/>
  <c r="K66" i="1"/>
  <c r="K67" i="1"/>
  <c r="K68" i="1"/>
  <c r="K69" i="1"/>
  <c r="K70" i="1"/>
  <c r="K71" i="1"/>
  <c r="K72" i="1"/>
  <c r="K73" i="1"/>
  <c r="K74" i="1"/>
  <c r="M74" i="1" s="1"/>
  <c r="K75" i="1"/>
  <c r="M75" i="1" s="1"/>
  <c r="K76" i="1"/>
  <c r="K77" i="1"/>
  <c r="K78" i="1"/>
  <c r="M78" i="1" s="1"/>
  <c r="K79" i="1"/>
  <c r="K80" i="1"/>
  <c r="M80" i="1" s="1"/>
  <c r="K81" i="1"/>
  <c r="K82" i="1"/>
  <c r="K83" i="1"/>
  <c r="K84" i="1"/>
  <c r="K85" i="1"/>
  <c r="K86" i="1"/>
  <c r="K87" i="1"/>
  <c r="K92" i="1"/>
  <c r="K93" i="1"/>
  <c r="K94" i="1"/>
  <c r="K95" i="1"/>
  <c r="K96" i="1"/>
  <c r="K97" i="1"/>
  <c r="K98" i="1"/>
  <c r="K99" i="1"/>
  <c r="M99" i="1" s="1"/>
  <c r="K100" i="1"/>
  <c r="M100" i="1" s="1"/>
  <c r="K101" i="1"/>
  <c r="M101" i="1" s="1"/>
  <c r="K102" i="1"/>
  <c r="K103" i="1"/>
  <c r="K104" i="1"/>
  <c r="K105" i="1"/>
  <c r="K106" i="1"/>
  <c r="K107" i="1"/>
  <c r="K108" i="1"/>
  <c r="M108" i="1" s="1"/>
  <c r="K109" i="1"/>
  <c r="K110" i="1"/>
  <c r="M110" i="1" s="1"/>
  <c r="K111" i="1"/>
  <c r="K112" i="1"/>
  <c r="K113" i="1"/>
  <c r="K114" i="1"/>
  <c r="K26" i="1"/>
  <c r="A24" i="1"/>
  <c r="A25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K6" i="1" l="1"/>
  <c r="K7" i="1"/>
  <c r="K8" i="1"/>
  <c r="M8" i="1" s="1"/>
  <c r="K9" i="1"/>
  <c r="K10" i="1"/>
  <c r="K11" i="1"/>
  <c r="K12" i="1"/>
  <c r="K13" i="1"/>
  <c r="K14" i="1"/>
  <c r="K15" i="1"/>
  <c r="K5" i="1"/>
  <c r="Q6" i="1"/>
  <c r="Q7" i="1"/>
  <c r="Q12" i="1"/>
  <c r="Q8" i="1"/>
  <c r="Q9" i="1"/>
  <c r="Q10" i="1"/>
  <c r="Q11" i="1"/>
  <c r="Q13" i="1"/>
  <c r="Q14" i="1"/>
  <c r="Q15" i="1"/>
  <c r="Q16" i="1"/>
  <c r="Q17" i="1"/>
  <c r="Q18" i="1"/>
  <c r="Q19" i="1"/>
  <c r="Q20" i="1"/>
  <c r="Q21" i="1"/>
  <c r="Q22" i="1"/>
  <c r="Q23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26" i="1"/>
  <c r="Q5" i="1"/>
  <c r="A20" i="1"/>
  <c r="A21" i="1"/>
  <c r="A22" i="1"/>
  <c r="A23" i="1"/>
  <c r="A19" i="1" l="1"/>
  <c r="A107" i="1"/>
  <c r="A108" i="1"/>
  <c r="A109" i="1"/>
  <c r="A110" i="1"/>
  <c r="A111" i="1"/>
  <c r="A112" i="1"/>
  <c r="A113" i="1"/>
  <c r="A114" i="1"/>
  <c r="A26" i="1"/>
  <c r="A6" i="1"/>
  <c r="A7" i="1"/>
  <c r="A12" i="1"/>
  <c r="A8" i="1"/>
  <c r="A9" i="1"/>
  <c r="A10" i="1"/>
  <c r="A11" i="1"/>
  <c r="A13" i="1"/>
  <c r="A14" i="1"/>
  <c r="A15" i="1"/>
  <c r="A16" i="1"/>
  <c r="A17" i="1"/>
  <c r="A18" i="1"/>
  <c r="A5" i="1"/>
  <c r="M115" i="1" l="1"/>
  <c r="L115" i="1" l="1"/>
  <c r="H9" i="8" l="1"/>
  <c r="H8" i="8"/>
  <c r="K19" i="8" l="1"/>
  <c r="K18" i="8"/>
</calcChain>
</file>

<file path=xl/sharedStrings.xml><?xml version="1.0" encoding="utf-8"?>
<sst xmlns="http://schemas.openxmlformats.org/spreadsheetml/2006/main" count="1335" uniqueCount="922">
  <si>
    <t>NO.</t>
    <phoneticPr fontId="3" type="noConversion"/>
  </si>
  <si>
    <t>DR</t>
    <phoneticPr fontId="3" type="noConversion"/>
  </si>
  <si>
    <t>병원명</t>
    <phoneticPr fontId="3" type="noConversion"/>
  </si>
  <si>
    <t>은행</t>
    <phoneticPr fontId="3" type="noConversion"/>
  </si>
  <si>
    <t>계좌번호</t>
    <phoneticPr fontId="3" type="noConversion"/>
  </si>
  <si>
    <t>비고</t>
    <phoneticPr fontId="3" type="noConversion"/>
  </si>
  <si>
    <t>서영일</t>
  </si>
  <si>
    <t>양윤수</t>
  </si>
  <si>
    <t>양윤수이비인후과</t>
  </si>
  <si>
    <t>김태훈</t>
  </si>
  <si>
    <t>고대안암병원</t>
  </si>
  <si>
    <t>최지윤</t>
  </si>
  <si>
    <t>조선대병원</t>
  </si>
  <si>
    <t>박승용</t>
  </si>
  <si>
    <t>전북대병원</t>
  </si>
  <si>
    <t>강진욱</t>
  </si>
  <si>
    <t>서울플러스이비인후과</t>
  </si>
  <si>
    <t>고석주</t>
  </si>
  <si>
    <t>서울이비인후과</t>
  </si>
  <si>
    <t>고재성</t>
  </si>
  <si>
    <t>상쾌한이비인후과</t>
  </si>
  <si>
    <t>구교준</t>
  </si>
  <si>
    <t>구교준이비인후과</t>
  </si>
  <si>
    <t>길상선</t>
  </si>
  <si>
    <t>전주이비인후과</t>
  </si>
  <si>
    <t>김경호</t>
  </si>
  <si>
    <t>김경호내과</t>
  </si>
  <si>
    <t>김대영</t>
  </si>
  <si>
    <t>고잔하나이비인후과</t>
  </si>
  <si>
    <t>김병하</t>
  </si>
  <si>
    <t>하당목포이비인후과</t>
  </si>
  <si>
    <t>김선귀</t>
  </si>
  <si>
    <t>김선귀이비인후과</t>
  </si>
  <si>
    <t>김성하</t>
  </si>
  <si>
    <t>코뿔소이비인후과</t>
  </si>
  <si>
    <t>김연준</t>
  </si>
  <si>
    <t>준이비인후과</t>
  </si>
  <si>
    <t>김영진</t>
  </si>
  <si>
    <t>김영진이비인후과</t>
  </si>
  <si>
    <t>김용재</t>
  </si>
  <si>
    <t>김용재이비인후과</t>
  </si>
  <si>
    <t>김윤정</t>
  </si>
  <si>
    <t>위례상쾌한이비인후과</t>
  </si>
  <si>
    <t>김종길</t>
  </si>
  <si>
    <t>김이비인후과</t>
  </si>
  <si>
    <t>김진수</t>
  </si>
  <si>
    <t>참이비인후과</t>
  </si>
  <si>
    <t>김충섭</t>
  </si>
  <si>
    <t>세림이비인후과</t>
  </si>
  <si>
    <t>김현범</t>
  </si>
  <si>
    <t>맑은이비인후과</t>
  </si>
  <si>
    <t>김형민</t>
  </si>
  <si>
    <t>푸른성모이비이후과</t>
  </si>
  <si>
    <t>김호엽</t>
  </si>
  <si>
    <t>창원우리이비인후과의원</t>
  </si>
  <si>
    <t>문교갑</t>
  </si>
  <si>
    <t>문이비인후과</t>
  </si>
  <si>
    <t>문성욱</t>
  </si>
  <si>
    <t>Dr.문이비인후과</t>
  </si>
  <si>
    <t>민한기</t>
  </si>
  <si>
    <t>호호이비인후과</t>
  </si>
  <si>
    <t>박기현</t>
  </si>
  <si>
    <t>박기현이비인후과</t>
  </si>
  <si>
    <t>박석환</t>
  </si>
  <si>
    <t>이솜이비인후과</t>
  </si>
  <si>
    <t>박성원</t>
  </si>
  <si>
    <t>박성원이비인후과의원</t>
  </si>
  <si>
    <t>박성호</t>
  </si>
  <si>
    <t>충주하나이비인후과</t>
  </si>
  <si>
    <t>박영규</t>
  </si>
  <si>
    <t>우리이비인후과</t>
  </si>
  <si>
    <t>박영철</t>
  </si>
  <si>
    <t>박이비인후과</t>
  </si>
  <si>
    <t>박재원</t>
  </si>
  <si>
    <t>박준범</t>
  </si>
  <si>
    <t>백홍인</t>
  </si>
  <si>
    <t>백이비인후과</t>
  </si>
  <si>
    <t>서성태</t>
  </si>
  <si>
    <t>코알이비인후과</t>
  </si>
  <si>
    <t>엔탑이비인후과</t>
  </si>
  <si>
    <t>성명식</t>
  </si>
  <si>
    <t>성이비인후과</t>
  </si>
  <si>
    <t>소병수</t>
  </si>
  <si>
    <t>소병수이비인후과</t>
  </si>
  <si>
    <t>송남수</t>
  </si>
  <si>
    <t>송이비인후과</t>
  </si>
  <si>
    <t>안옥선</t>
  </si>
  <si>
    <t>안이비인후과</t>
  </si>
  <si>
    <t>양명재</t>
  </si>
  <si>
    <t>열린성모이비인후과</t>
  </si>
  <si>
    <t>유명상</t>
  </si>
  <si>
    <t>유앤유이비인후과</t>
  </si>
  <si>
    <t>유승열</t>
  </si>
  <si>
    <t>유이비인후과</t>
  </si>
  <si>
    <t>이동훈</t>
  </si>
  <si>
    <t>이동훈이비인후과</t>
  </si>
  <si>
    <t>이승호</t>
  </si>
  <si>
    <t>이승호이비인후과</t>
  </si>
  <si>
    <t>이시형</t>
  </si>
  <si>
    <t>수이비인후과</t>
  </si>
  <si>
    <t>이재욱</t>
  </si>
  <si>
    <t>중앙이비인후과</t>
  </si>
  <si>
    <t>이정현</t>
  </si>
  <si>
    <t>베스트이비인후과</t>
  </si>
  <si>
    <t>이정훈</t>
  </si>
  <si>
    <t>코와이비인후과</t>
  </si>
  <si>
    <t>이진우</t>
  </si>
  <si>
    <t>이현섭</t>
  </si>
  <si>
    <t>탄현하나이비인후과</t>
  </si>
  <si>
    <t>이현창</t>
  </si>
  <si>
    <t>이효원</t>
  </si>
  <si>
    <t>원이비인후과</t>
  </si>
  <si>
    <t>임상호</t>
  </si>
  <si>
    <t>임상호이비인후과</t>
  </si>
  <si>
    <t>임순광</t>
  </si>
  <si>
    <t>임이비인후과</t>
  </si>
  <si>
    <t>장재웅</t>
  </si>
  <si>
    <t>코코이비인후과</t>
  </si>
  <si>
    <t>장진용</t>
  </si>
  <si>
    <t>혁신이비인후과</t>
  </si>
  <si>
    <t>정광태</t>
  </si>
  <si>
    <t>에코이비인후과</t>
  </si>
  <si>
    <t>정국진</t>
  </si>
  <si>
    <t>정이비인후과</t>
  </si>
  <si>
    <t>정신근</t>
  </si>
  <si>
    <t>소리사랑이비인후과</t>
  </si>
  <si>
    <t>조영주</t>
  </si>
  <si>
    <t>선이비인후과</t>
  </si>
  <si>
    <t>조일권</t>
  </si>
  <si>
    <t>조은이비인후과</t>
  </si>
  <si>
    <t>조재홍</t>
  </si>
  <si>
    <t>조앤박이비인후과</t>
  </si>
  <si>
    <t>조형철</t>
  </si>
  <si>
    <t>드림이비인후과</t>
  </si>
  <si>
    <t>주영민</t>
  </si>
  <si>
    <t>예스이비인후과</t>
  </si>
  <si>
    <t>주은정</t>
  </si>
  <si>
    <t>주이비인후과</t>
  </si>
  <si>
    <t>진태훈</t>
  </si>
  <si>
    <t>서울유니언이비인후과</t>
  </si>
  <si>
    <t>차용우</t>
  </si>
  <si>
    <t>차용우이비인후과</t>
  </si>
  <si>
    <t>최은석</t>
  </si>
  <si>
    <t>최은석이비인후과</t>
  </si>
  <si>
    <t>최정섭</t>
  </si>
  <si>
    <t>맑은소리최정섭이비인후과</t>
  </si>
  <si>
    <t>최진식</t>
  </si>
  <si>
    <t>허준영</t>
  </si>
  <si>
    <t>숨튼이비인후과</t>
  </si>
  <si>
    <t>황병언</t>
  </si>
  <si>
    <t>황병언이비인후과</t>
  </si>
  <si>
    <t>최리</t>
  </si>
  <si>
    <t>곽성용</t>
  </si>
  <si>
    <t>김형진</t>
  </si>
  <si>
    <t>유세종</t>
  </si>
  <si>
    <t>구민호</t>
  </si>
  <si>
    <t>조성우</t>
  </si>
  <si>
    <t>기영환</t>
  </si>
  <si>
    <t>010-9645-2378</t>
  </si>
  <si>
    <t>이성호</t>
  </si>
  <si>
    <t>김지영</t>
  </si>
  <si>
    <t>이현묵</t>
  </si>
  <si>
    <t>정학수</t>
  </si>
  <si>
    <t>김준묵</t>
  </si>
  <si>
    <t>손문수</t>
  </si>
  <si>
    <t>김부미</t>
  </si>
  <si>
    <t xml:space="preserve">최형산 </t>
  </si>
  <si>
    <t>박홍철</t>
  </si>
  <si>
    <t>이정수</t>
  </si>
  <si>
    <t>배효경</t>
  </si>
  <si>
    <t>서재규</t>
  </si>
  <si>
    <t>공승교</t>
  </si>
  <si>
    <t>김진복</t>
  </si>
  <si>
    <t>장훈기</t>
  </si>
  <si>
    <t>염민선</t>
  </si>
  <si>
    <t>김호중</t>
  </si>
  <si>
    <t>박서라</t>
  </si>
  <si>
    <t>안치훈</t>
  </si>
  <si>
    <t>정현범</t>
  </si>
  <si>
    <t>민경석</t>
  </si>
  <si>
    <t>김정내</t>
  </si>
  <si>
    <t>김승현</t>
  </si>
  <si>
    <t>박재용</t>
  </si>
  <si>
    <t>정준식</t>
  </si>
  <si>
    <t>김병연</t>
  </si>
  <si>
    <t>최우영</t>
  </si>
  <si>
    <t>오경민</t>
  </si>
  <si>
    <t>이광명</t>
  </si>
  <si>
    <t>주성헌</t>
  </si>
  <si>
    <t>최정호</t>
  </si>
  <si>
    <t>허우석</t>
  </si>
  <si>
    <t>나소영</t>
  </si>
  <si>
    <t>이병문</t>
  </si>
  <si>
    <t>정경진</t>
  </si>
  <si>
    <t>이해창</t>
  </si>
  <si>
    <t>김지훈</t>
  </si>
  <si>
    <t>노민석</t>
  </si>
  <si>
    <t>오정기</t>
  </si>
  <si>
    <t>다나이비인후과</t>
  </si>
  <si>
    <t>유진</t>
  </si>
  <si>
    <t>오기준</t>
  </si>
  <si>
    <t>모성환</t>
  </si>
  <si>
    <t>모성환내과</t>
  </si>
  <si>
    <t>안소현</t>
  </si>
  <si>
    <t>단비소아청소년과의원</t>
  </si>
  <si>
    <t>박건</t>
  </si>
  <si>
    <t>합계</t>
    <phoneticPr fontId="3" type="noConversion"/>
  </si>
  <si>
    <t>전북</t>
  </si>
  <si>
    <t>538-21-0463884</t>
  </si>
  <si>
    <t>신한</t>
  </si>
  <si>
    <t>110-020-500866</t>
  </si>
  <si>
    <t>529-21-1238565</t>
  </si>
  <si>
    <t>353-02-418380</t>
  </si>
  <si>
    <t>신한
신한</t>
  </si>
  <si>
    <t>110-058-923215
110-387-451606</t>
  </si>
  <si>
    <t>국민</t>
  </si>
  <si>
    <t>018-01-0599739</t>
  </si>
  <si>
    <t>산업</t>
  </si>
  <si>
    <t>020-2413-7728-702</t>
  </si>
  <si>
    <t>우리</t>
  </si>
  <si>
    <t>142-128631-02501</t>
  </si>
  <si>
    <t>하나</t>
  </si>
  <si>
    <t>383402-04-003742</t>
  </si>
  <si>
    <t>기업</t>
  </si>
  <si>
    <t>*01072886396*</t>
  </si>
  <si>
    <t>391-910130-26707</t>
  </si>
  <si>
    <t>291-910187-97507</t>
  </si>
  <si>
    <t>씨티</t>
  </si>
  <si>
    <t>하나외환</t>
  </si>
  <si>
    <t>171-910222-25107</t>
  </si>
  <si>
    <t>152-055455-00107</t>
  </si>
  <si>
    <t>새마을금고</t>
  </si>
  <si>
    <t>9002-159807-474</t>
  </si>
  <si>
    <t>농협</t>
  </si>
  <si>
    <t>550-12-031681</t>
  </si>
  <si>
    <t>시티</t>
  </si>
  <si>
    <t>144-01155-263-01</t>
  </si>
  <si>
    <t>603-10680-263-01</t>
  </si>
  <si>
    <t>604-08-039267</t>
  </si>
  <si>
    <t>652-08-131049</t>
  </si>
  <si>
    <t>광주</t>
  </si>
  <si>
    <t>002-107-083243</t>
  </si>
  <si>
    <t>028-107-350353</t>
  </si>
  <si>
    <t>601179-52-025985</t>
  </si>
  <si>
    <t>이성재</t>
  </si>
  <si>
    <t>전북
은행</t>
  </si>
  <si>
    <t>529-21-0388-148</t>
  </si>
  <si>
    <t>KB 국민</t>
  </si>
  <si>
    <t>506-21-0258-111</t>
  </si>
  <si>
    <t>512-21-0002-374</t>
  </si>
  <si>
    <t>010-6733-8455</t>
  </si>
  <si>
    <t>898302-00-004274</t>
  </si>
  <si>
    <t>331-19-00185-0</t>
  </si>
  <si>
    <t>KB국민</t>
  </si>
  <si>
    <t>347-21-0287-082</t>
  </si>
  <si>
    <t>110-330-256988</t>
  </si>
  <si>
    <t>110-323-109890</t>
  </si>
  <si>
    <t>keb외환</t>
  </si>
  <si>
    <t>630-006477-647</t>
  </si>
  <si>
    <t>627-910104-94407</t>
  </si>
  <si>
    <t>keb하나</t>
  </si>
  <si>
    <t>667-910353-43507</t>
  </si>
  <si>
    <t>`01034433143107</t>
  </si>
  <si>
    <t>`01047150497107</t>
  </si>
  <si>
    <t>156-117376-04-016</t>
  </si>
  <si>
    <t>667-910305-02807</t>
  </si>
  <si>
    <t>304-02-170153</t>
  </si>
  <si>
    <t>카카오뱅크</t>
  </si>
  <si>
    <t>3333-01-6795431</t>
  </si>
  <si>
    <t>233-890897-10607</t>
  </si>
  <si>
    <t>신연재</t>
  </si>
  <si>
    <t>766-02-072613</t>
  </si>
  <si>
    <t>502-910038-52504</t>
  </si>
  <si>
    <t>부산</t>
  </si>
  <si>
    <t>101-02-007388-3</t>
  </si>
  <si>
    <t>068-02-137126</t>
  </si>
  <si>
    <t>928-02-071680</t>
  </si>
  <si>
    <t>876702-01-162296</t>
  </si>
  <si>
    <t>경남</t>
  </si>
  <si>
    <t>587-07-0028232</t>
  </si>
  <si>
    <t>534-22-0879960</t>
  </si>
  <si>
    <t>82-1111-5210-8849</t>
  </si>
  <si>
    <t>504-910059-41707</t>
  </si>
  <si>
    <t>911-02-317165</t>
  </si>
  <si>
    <t>156-105114-01-109</t>
  </si>
  <si>
    <t>황인국</t>
  </si>
  <si>
    <t>1002-750-889540</t>
  </si>
  <si>
    <t>038-144781-04-010</t>
  </si>
  <si>
    <t>211002-0403-1163</t>
  </si>
  <si>
    <t>김나연</t>
  </si>
  <si>
    <t>614-13-0350772</t>
  </si>
  <si>
    <t>박호영</t>
  </si>
  <si>
    <t>전주의원</t>
  </si>
  <si>
    <t>병원6팀</t>
  </si>
  <si>
    <t>광주병원</t>
  </si>
  <si>
    <t>전주병원</t>
  </si>
  <si>
    <t>의원5팀</t>
  </si>
  <si>
    <t>의원2팀</t>
  </si>
  <si>
    <t>의원3팀</t>
  </si>
  <si>
    <t>의원1팀</t>
  </si>
  <si>
    <t>의원4팀</t>
  </si>
  <si>
    <t xml:space="preserve">전주의원팀 </t>
  </si>
  <si>
    <t>대구의원팀</t>
  </si>
  <si>
    <t>수원의원1팀</t>
  </si>
  <si>
    <t>광주의원팀</t>
  </si>
  <si>
    <t>이상협</t>
  </si>
  <si>
    <t>전주의원팀</t>
  </si>
  <si>
    <t>수원의원2팀</t>
  </si>
  <si>
    <t>청주의원팀</t>
  </si>
  <si>
    <t>대전의원팀</t>
  </si>
  <si>
    <t>박새로운</t>
  </si>
  <si>
    <t>부산의원팀</t>
  </si>
  <si>
    <t>경남의원팀</t>
  </si>
  <si>
    <t>인천의원팀</t>
  </si>
  <si>
    <t>손영석</t>
  </si>
  <si>
    <t>광주의원</t>
  </si>
  <si>
    <t xml:space="preserve">이상협 </t>
  </si>
  <si>
    <t>010-6681-2462</t>
  </si>
  <si>
    <t>010-9491-9886</t>
  </si>
  <si>
    <t>010-4603-8023</t>
  </si>
  <si>
    <t>010-5468-7912</t>
  </si>
  <si>
    <t>010-3207-0605</t>
  </si>
  <si>
    <t>010-2254-5560</t>
  </si>
  <si>
    <t>010-3747-2222</t>
  </si>
  <si>
    <t>010-2594-9285</t>
  </si>
  <si>
    <t>010-8643-4868</t>
  </si>
  <si>
    <t>010-5602-0104</t>
  </si>
  <si>
    <t>010-3893-6061</t>
  </si>
  <si>
    <t>010-2927-8369</t>
  </si>
  <si>
    <t>010-3410-4357</t>
  </si>
  <si>
    <t>010-9867-7942</t>
  </si>
  <si>
    <t>010-8838-4397</t>
  </si>
  <si>
    <t>‭010-8394-1134‬</t>
  </si>
  <si>
    <t>010-8894-3712</t>
  </si>
  <si>
    <t>010-8578-1864</t>
  </si>
  <si>
    <t>010-9138-8684</t>
  </si>
  <si>
    <t>010-9953-0079</t>
  </si>
  <si>
    <t>010-8786-5449</t>
  </si>
  <si>
    <t>010-2282-1901</t>
  </si>
  <si>
    <t>010-5241-4214</t>
  </si>
  <si>
    <t>010-6646-6956</t>
  </si>
  <si>
    <t>010-5627-1021</t>
  </si>
  <si>
    <t>010-7288-6396</t>
  </si>
  <si>
    <t>010-6594-5359</t>
  </si>
  <si>
    <t>010-8518-8039</t>
  </si>
  <si>
    <t>010-3561-2237</t>
  </si>
  <si>
    <t>010-9668-5455</t>
  </si>
  <si>
    <t>010-2531-1261</t>
  </si>
  <si>
    <t>010-6404-3253</t>
  </si>
  <si>
    <t>010-9436-6490</t>
  </si>
  <si>
    <t>010-9598-3350</t>
  </si>
  <si>
    <t>010-5630-4450</t>
  </si>
  <si>
    <t>010-3222-0200</t>
  </si>
  <si>
    <t>010-3422-3143</t>
  </si>
  <si>
    <t>010-3448-8681</t>
  </si>
  <si>
    <t>010-5340-3428</t>
  </si>
  <si>
    <t>010-2863-6701</t>
  </si>
  <si>
    <t>010-5511-8352</t>
  </si>
  <si>
    <t>010-2626-6235</t>
  </si>
  <si>
    <t>010-4760-1833</t>
  </si>
  <si>
    <t>010-4910-9636</t>
  </si>
  <si>
    <t>010-5255-9075</t>
  </si>
  <si>
    <t>010-5435-9236</t>
  </si>
  <si>
    <t>010-6281-9111</t>
  </si>
  <si>
    <t>010-3663-1733</t>
  </si>
  <si>
    <t>010-8226-6112</t>
  </si>
  <si>
    <t>010-7412-7535</t>
  </si>
  <si>
    <t>010-6495-8095</t>
  </si>
  <si>
    <t>010-4715-0497</t>
  </si>
  <si>
    <t>010-3309-6347</t>
  </si>
  <si>
    <t>010-6680-6068</t>
  </si>
  <si>
    <t>010-4517-8202</t>
  </si>
  <si>
    <t>010-5656-2018</t>
  </si>
  <si>
    <t>010-8903-0788</t>
  </si>
  <si>
    <t>010-5429-8517</t>
  </si>
  <si>
    <t>010-9241-7853</t>
  </si>
  <si>
    <t>010-9601-8108</t>
  </si>
  <si>
    <t>010-7639-7188</t>
  </si>
  <si>
    <t>010-3466-8241</t>
  </si>
  <si>
    <t>010-8947-2146</t>
  </si>
  <si>
    <t>010-3520-7525</t>
  </si>
  <si>
    <t>010-4053-7556</t>
  </si>
  <si>
    <t>010-2602-3377</t>
  </si>
  <si>
    <t>010-9043-9771</t>
  </si>
  <si>
    <t>010-3372-4789</t>
  </si>
  <si>
    <t>010-8992-3415</t>
  </si>
  <si>
    <t>010-2638-6771</t>
  </si>
  <si>
    <t>010-3641-3515</t>
  </si>
  <si>
    <t>010-4541-3875</t>
  </si>
  <si>
    <t>010-5115-5133</t>
  </si>
  <si>
    <t>010-5417-6594</t>
  </si>
  <si>
    <t>010-9452-0821</t>
  </si>
  <si>
    <t>010-9625-3326</t>
  </si>
  <si>
    <t>010-7192-4491</t>
  </si>
  <si>
    <t>010-8803-9545</t>
  </si>
  <si>
    <t>박성호</t>
    <phoneticPr fontId="3" type="noConversion"/>
  </si>
  <si>
    <t>박재원</t>
    <phoneticPr fontId="3" type="noConversion"/>
  </si>
  <si>
    <t>KTX왕복</t>
    <phoneticPr fontId="3" type="noConversion"/>
  </si>
  <si>
    <t>택시비</t>
    <phoneticPr fontId="3" type="noConversion"/>
  </si>
  <si>
    <t>주유비</t>
    <phoneticPr fontId="3" type="noConversion"/>
  </si>
  <si>
    <t>입금액</t>
    <phoneticPr fontId="3" type="noConversion"/>
  </si>
  <si>
    <t>박성호</t>
    <phoneticPr fontId="3" type="noConversion"/>
  </si>
  <si>
    <t>박재원</t>
    <phoneticPr fontId="3" type="noConversion"/>
  </si>
  <si>
    <t>실제입금예정</t>
    <phoneticPr fontId="3" type="noConversion"/>
  </si>
  <si>
    <t>부광내부용</t>
    <phoneticPr fontId="3" type="noConversion"/>
  </si>
  <si>
    <t>조재홍</t>
    <phoneticPr fontId="3" type="noConversion"/>
  </si>
  <si>
    <t>-</t>
    <phoneticPr fontId="3" type="noConversion"/>
  </si>
  <si>
    <t>차액</t>
    <phoneticPr fontId="3" type="noConversion"/>
  </si>
  <si>
    <t>실제지급금액</t>
    <phoneticPr fontId="3" type="noConversion"/>
  </si>
  <si>
    <t>연락처</t>
    <phoneticPr fontId="3" type="noConversion"/>
  </si>
  <si>
    <t>최종정산</t>
    <phoneticPr fontId="3" type="noConversion"/>
  </si>
  <si>
    <t>제출영수증</t>
    <phoneticPr fontId="3" type="noConversion"/>
  </si>
  <si>
    <t>담당자</t>
    <phoneticPr fontId="3" type="noConversion"/>
  </si>
  <si>
    <t>담당자 연락처</t>
    <phoneticPr fontId="3" type="noConversion"/>
  </si>
  <si>
    <t>네이버</t>
    <phoneticPr fontId="3" type="noConversion"/>
  </si>
  <si>
    <t>통행료</t>
    <phoneticPr fontId="3" type="noConversion"/>
  </si>
  <si>
    <t>교통수단</t>
    <phoneticPr fontId="3" type="noConversion"/>
  </si>
  <si>
    <t>`</t>
    <phoneticPr fontId="3" type="noConversion"/>
  </si>
  <si>
    <t>좌장</t>
    <phoneticPr fontId="3" type="noConversion"/>
  </si>
  <si>
    <t>연자</t>
    <phoneticPr fontId="3" type="noConversion"/>
  </si>
  <si>
    <t>HM TRUST SYMPOSIUM 호텔나루 서울 엠갤러리 호텔</t>
    <phoneticPr fontId="3" type="noConversion"/>
  </si>
  <si>
    <t>2026.03.07(토)~03.08(일)</t>
    <phoneticPr fontId="3" type="noConversion"/>
  </si>
  <si>
    <t>이영목</t>
  </si>
  <si>
    <t>장중현</t>
  </si>
  <si>
    <t>이항락</t>
  </si>
  <si>
    <t>김승우</t>
  </si>
  <si>
    <t>이현</t>
  </si>
  <si>
    <t>문지용</t>
  </si>
  <si>
    <t>정다현</t>
  </si>
  <si>
    <t>허철웅</t>
  </si>
  <si>
    <t>노지윤</t>
  </si>
  <si>
    <t>박효은</t>
  </si>
  <si>
    <t>경태석</t>
  </si>
  <si>
    <t>오정민</t>
  </si>
  <si>
    <t>구강모</t>
  </si>
  <si>
    <t>김광훈</t>
  </si>
  <si>
    <t>김기영A</t>
  </si>
  <si>
    <t>김기영B</t>
  </si>
  <si>
    <t>김동현</t>
  </si>
  <si>
    <t>김선숙</t>
  </si>
  <si>
    <t>김성환</t>
  </si>
  <si>
    <t>한유지</t>
  </si>
  <si>
    <t>김수현B</t>
  </si>
  <si>
    <t>조경래</t>
  </si>
  <si>
    <t>김영남</t>
  </si>
  <si>
    <t>김영준</t>
  </si>
  <si>
    <t>김영찬</t>
  </si>
  <si>
    <t>김영호</t>
  </si>
  <si>
    <t>김윤석</t>
  </si>
  <si>
    <t>김은실</t>
  </si>
  <si>
    <t>김정민</t>
  </si>
  <si>
    <t>김제연</t>
  </si>
  <si>
    <t>김주경</t>
  </si>
  <si>
    <t>김준현</t>
  </si>
  <si>
    <t>김지희</t>
  </si>
  <si>
    <t>이흥우</t>
  </si>
  <si>
    <t>김해동</t>
  </si>
  <si>
    <t>김현부</t>
  </si>
  <si>
    <t>김홍권</t>
  </si>
  <si>
    <t>김홍래</t>
  </si>
  <si>
    <t>나영우</t>
  </si>
  <si>
    <t>남승우</t>
  </si>
  <si>
    <t>박경희</t>
  </si>
  <si>
    <t>박기영</t>
  </si>
  <si>
    <t>박소연</t>
  </si>
  <si>
    <t>김장겸</t>
  </si>
  <si>
    <t>노태성</t>
  </si>
  <si>
    <t>박은숙</t>
  </si>
  <si>
    <t>박종재</t>
  </si>
  <si>
    <t>박철홍</t>
  </si>
  <si>
    <t>서영미</t>
  </si>
  <si>
    <t>손일웅</t>
  </si>
  <si>
    <t>신명철</t>
  </si>
  <si>
    <t>신정아</t>
  </si>
  <si>
    <t>신천호</t>
  </si>
  <si>
    <t>심명주</t>
  </si>
  <si>
    <t>양대원</t>
  </si>
  <si>
    <t>오영철</t>
  </si>
  <si>
    <t>유문빈</t>
  </si>
  <si>
    <t>유영상</t>
  </si>
  <si>
    <t>유현아</t>
  </si>
  <si>
    <t>이경수</t>
  </si>
  <si>
    <t>이미덕</t>
  </si>
  <si>
    <t>이보라</t>
  </si>
  <si>
    <t>이소영</t>
  </si>
  <si>
    <t>이승문</t>
  </si>
  <si>
    <t>이욱진</t>
  </si>
  <si>
    <t>이정미</t>
  </si>
  <si>
    <t>이창욱</t>
  </si>
  <si>
    <t>김지원</t>
  </si>
  <si>
    <t>이현호</t>
  </si>
  <si>
    <t>이혜용</t>
  </si>
  <si>
    <t>윤상섭</t>
  </si>
  <si>
    <t>임상수</t>
  </si>
  <si>
    <t>임선희</t>
  </si>
  <si>
    <t>박희영</t>
  </si>
  <si>
    <t>임지연</t>
  </si>
  <si>
    <t>장세걸</t>
  </si>
  <si>
    <t>정영훈</t>
  </si>
  <si>
    <t>김민정</t>
  </si>
  <si>
    <t>정윤건</t>
  </si>
  <si>
    <t>정은숙</t>
  </si>
  <si>
    <t xml:space="preserve">김민 </t>
  </si>
  <si>
    <t>정인아</t>
  </si>
  <si>
    <t>정재원</t>
  </si>
  <si>
    <t>김택수</t>
  </si>
  <si>
    <t>정재현</t>
  </si>
  <si>
    <t>조담래</t>
  </si>
  <si>
    <t>조성태</t>
  </si>
  <si>
    <t>조유나</t>
  </si>
  <si>
    <t>조준성</t>
  </si>
  <si>
    <t>조형준</t>
  </si>
  <si>
    <t>고은지</t>
  </si>
  <si>
    <t>주유영</t>
  </si>
  <si>
    <t>최민준</t>
  </si>
  <si>
    <t>최윤정</t>
  </si>
  <si>
    <t>최성배</t>
  </si>
  <si>
    <t>최영환</t>
  </si>
  <si>
    <t>최지민</t>
  </si>
  <si>
    <t>한민석</t>
  </si>
  <si>
    <t>이슬</t>
  </si>
  <si>
    <t>한민아</t>
  </si>
  <si>
    <t>홍성화</t>
  </si>
  <si>
    <t>홍창기</t>
  </si>
  <si>
    <t>황상익</t>
  </si>
  <si>
    <t>황건익</t>
  </si>
  <si>
    <t>황의창</t>
  </si>
  <si>
    <t>황치상</t>
  </si>
  <si>
    <t>김수현A</t>
  </si>
  <si>
    <t>방배지에프내과의원</t>
  </si>
  <si>
    <t>010-9973-1995</t>
  </si>
  <si>
    <t>원진재단부설녹색병원</t>
  </si>
  <si>
    <t>010-3228-7141</t>
  </si>
  <si>
    <t>한양대학교병원</t>
  </si>
  <si>
    <t>010-8894-9882</t>
  </si>
  <si>
    <t>한국보훈복지의료공단중앙보훈병원</t>
  </si>
  <si>
    <t>010-4782-2525</t>
  </si>
  <si>
    <t>건국대학교병원</t>
  </si>
  <si>
    <t>010-2018-1018</t>
  </si>
  <si>
    <t>연세대학교의료원</t>
  </si>
  <si>
    <t>연세의대용인세브란스병원</t>
  </si>
  <si>
    <t>고려대학교구로병원</t>
  </si>
  <si>
    <t>서울플러스이비인후과의원</t>
  </si>
  <si>
    <t>서울하트내과</t>
  </si>
  <si>
    <t>코아이비인후과의원</t>
  </si>
  <si>
    <t>010-6500-1099</t>
  </si>
  <si>
    <t>닥터오의원</t>
  </si>
  <si>
    <t>연락X</t>
  </si>
  <si>
    <t>중앙대학교병원</t>
  </si>
  <si>
    <t>010-4657-7719</t>
  </si>
  <si>
    <t>홍익병원</t>
  </si>
  <si>
    <t>010-4769-6779</t>
  </si>
  <si>
    <t>애플이비인후과의원</t>
  </si>
  <si>
    <t>010-7274-2489</t>
  </si>
  <si>
    <t>김기영내과</t>
  </si>
  <si>
    <t>연세위드내과의원</t>
  </si>
  <si>
    <t>010-7355-8356</t>
  </si>
  <si>
    <t>구로쏙내과의원</t>
  </si>
  <si>
    <t>010-8615-4879</t>
  </si>
  <si>
    <t>서울대입구더원내과의원</t>
  </si>
  <si>
    <t>조경래이비인후과</t>
  </si>
  <si>
    <t>010-2856-9886</t>
  </si>
  <si>
    <t>조경래이비인후과의원</t>
  </si>
  <si>
    <t>대치퍼스트이비인후과의원</t>
  </si>
  <si>
    <t>010-4000-1501</t>
  </si>
  <si>
    <t>우리메디의원</t>
  </si>
  <si>
    <t>우리들의원(태백)</t>
  </si>
  <si>
    <t>010-2391-6707</t>
  </si>
  <si>
    <t>아름다운목소리이비인후과의원</t>
  </si>
  <si>
    <t>의료법인인봉(仁奉)의료재단영등포병원</t>
  </si>
  <si>
    <t>010-6776-8328</t>
  </si>
  <si>
    <t>한일병원</t>
  </si>
  <si>
    <t>참조은이비인후과의원</t>
  </si>
  <si>
    <t>반포온가족의원</t>
  </si>
  <si>
    <t>010-7140-1329</t>
  </si>
  <si>
    <t>바른마음내과의원</t>
  </si>
  <si>
    <t>010-6385-8704</t>
  </si>
  <si>
    <t>평창군봉평보건지소</t>
  </si>
  <si>
    <t>연세명랑이비인후과의원</t>
  </si>
  <si>
    <t>신당센트럴이비인후과의원</t>
  </si>
  <si>
    <t>010-7169-7690</t>
  </si>
  <si>
    <t>왕십리본정형외과의원</t>
  </si>
  <si>
    <t>더열린ENT</t>
  </si>
  <si>
    <t>010-7225-0573</t>
  </si>
  <si>
    <t>김현소아과의원</t>
  </si>
  <si>
    <t>010-7211-9820</t>
  </si>
  <si>
    <t>꿈나무소아청소년과의원</t>
  </si>
  <si>
    <t>코앤코이비인후과의원</t>
  </si>
  <si>
    <t>성모가정의학과의원</t>
  </si>
  <si>
    <t>비타민의원</t>
  </si>
  <si>
    <t>세브란스병원</t>
  </si>
  <si>
    <t>010-9061-7802</t>
  </si>
  <si>
    <t>이가정의학과의원</t>
  </si>
  <si>
    <t>서울특별시중구보건소</t>
  </si>
  <si>
    <t>김장겸이비인후과의원</t>
  </si>
  <si>
    <t>010-3213-5307</t>
  </si>
  <si>
    <t>노박의원</t>
  </si>
  <si>
    <t>010-9142-4879</t>
  </si>
  <si>
    <t>강남성모내과</t>
  </si>
  <si>
    <t>청담이든의원</t>
  </si>
  <si>
    <t>010-9066-1946</t>
  </si>
  <si>
    <t>연세산돌병원</t>
  </si>
  <si>
    <t>010-8008-1804</t>
  </si>
  <si>
    <t>도곡예원이비인후과의원</t>
  </si>
  <si>
    <t>학동본내과의원</t>
  </si>
  <si>
    <t>신천호내과의원</t>
  </si>
  <si>
    <t>010-6275-7129</t>
  </si>
  <si>
    <t>서울아산이비인후과의원</t>
  </si>
  <si>
    <t>010-9946-2769</t>
  </si>
  <si>
    <t>양대원내과의원</t>
  </si>
  <si>
    <t>010-5000-2560</t>
  </si>
  <si>
    <t>오이비인후과의원</t>
  </si>
  <si>
    <t>010-9662-5241</t>
  </si>
  <si>
    <t>삼육서울병원</t>
  </si>
  <si>
    <t>010-9306-1957</t>
  </si>
  <si>
    <t>강릉아산병원</t>
  </si>
  <si>
    <t>마디세상병원</t>
  </si>
  <si>
    <t>010-8543-1372</t>
  </si>
  <si>
    <t>서울삼성내과의원</t>
  </si>
  <si>
    <t>010-7515-6903</t>
  </si>
  <si>
    <t>연세내과</t>
  </si>
  <si>
    <t>010-5568-7040</t>
  </si>
  <si>
    <t>가톨릭대학교은평성모병원</t>
  </si>
  <si>
    <t>010-3885-3246</t>
  </si>
  <si>
    <t>연세큰숲내과의원</t>
  </si>
  <si>
    <t>열린연세이비인후과의원</t>
  </si>
  <si>
    <t>010-3016-3746</t>
  </si>
  <si>
    <t>010-9082-7160</t>
  </si>
  <si>
    <t>강동경희대학교병원</t>
  </si>
  <si>
    <t>010-8905-4098</t>
  </si>
  <si>
    <t>김진경이비인후과의원</t>
  </si>
  <si>
    <t>010-6798-1135</t>
  </si>
  <si>
    <t>유퍼스트이비인후과의원</t>
  </si>
  <si>
    <t>은준영내과</t>
  </si>
  <si>
    <t>일등이비인후과의원</t>
  </si>
  <si>
    <t>010-5220-5416</t>
  </si>
  <si>
    <t>성모이비인후과의원</t>
  </si>
  <si>
    <t>(학)가톨릭대학교서울성모병원</t>
  </si>
  <si>
    <t>림스내과의원</t>
  </si>
  <si>
    <t>010-6693-0759</t>
  </si>
  <si>
    <t>자애내과외과의원</t>
  </si>
  <si>
    <t>임지연의원</t>
  </si>
  <si>
    <t>유앤장이비인후과</t>
  </si>
  <si>
    <t>서초성모이비인후과의원</t>
  </si>
  <si>
    <t>프리샤산부인과의원</t>
  </si>
  <si>
    <t>의료법인열린의료재단혜화열린의원</t>
  </si>
  <si>
    <t>010-9514-1734</t>
  </si>
  <si>
    <t>강북으뜸병원</t>
  </si>
  <si>
    <t>연락x</t>
  </si>
  <si>
    <t>국립중앙의료원</t>
  </si>
  <si>
    <t>정앤장내과의원</t>
  </si>
  <si>
    <t>010-9025-8362</t>
  </si>
  <si>
    <t>김택수정신과의원</t>
  </si>
  <si>
    <t>더열린이비인후과의원</t>
  </si>
  <si>
    <t>010-3073-9647</t>
  </si>
  <si>
    <t>중문삼성연합의원</t>
  </si>
  <si>
    <t>보통의의원</t>
  </si>
  <si>
    <t>연세다정한365의원</t>
  </si>
  <si>
    <t>010-7191-7826</t>
  </si>
  <si>
    <t>코튼이비인후과의원</t>
  </si>
  <si>
    <t>스킨영피부과</t>
  </si>
  <si>
    <t>삼성더건강내과의원</t>
  </si>
  <si>
    <t>010-9010-6047</t>
  </si>
  <si>
    <t>최준내과의원</t>
  </si>
  <si>
    <t>맑은의원</t>
  </si>
  <si>
    <t>우리내과</t>
  </si>
  <si>
    <t>010-6521-2376</t>
  </si>
  <si>
    <t>송파민이비인후과의원</t>
  </si>
  <si>
    <t>연세국민건강내과소아청소년과의원</t>
  </si>
  <si>
    <t>010-4704-2963</t>
  </si>
  <si>
    <t>민트이비인후과의원</t>
  </si>
  <si>
    <t>010-5410-0212</t>
  </si>
  <si>
    <t>닥터홍이비인후과의원</t>
  </si>
  <si>
    <t>010-3664-4888</t>
  </si>
  <si>
    <t>열린가족의원</t>
  </si>
  <si>
    <t>삼성열린외과의원</t>
  </si>
  <si>
    <t>횡성내과의원(방문)</t>
  </si>
  <si>
    <t>연세솔이비인후과의원</t>
  </si>
  <si>
    <t>010-8740-7491</t>
  </si>
  <si>
    <t>안영태</t>
  </si>
  <si>
    <t>010-9454-0979</t>
  </si>
  <si>
    <t>강승일</t>
  </si>
  <si>
    <t>010-5303-6301</t>
  </si>
  <si>
    <t>김주연A</t>
  </si>
  <si>
    <t>010-3577-6501</t>
  </si>
  <si>
    <t>이호빈</t>
  </si>
  <si>
    <t>010-3174-4031</t>
  </si>
  <si>
    <t>이성국</t>
  </si>
  <si>
    <t>010-4993-7316</t>
  </si>
  <si>
    <t>이성훈</t>
  </si>
  <si>
    <t>010-3346-2029</t>
  </si>
  <si>
    <t>박현구</t>
  </si>
  <si>
    <t>010-4147-9848</t>
  </si>
  <si>
    <t>강이원</t>
  </si>
  <si>
    <t>010-3658-2114</t>
  </si>
  <si>
    <t>김태완B</t>
  </si>
  <si>
    <t>010-3564-1197</t>
  </si>
  <si>
    <t>이동연</t>
  </si>
  <si>
    <t>010-6449-6492</t>
  </si>
  <si>
    <t>권준영</t>
  </si>
  <si>
    <t>010-4302-0070</t>
  </si>
  <si>
    <t>한종철</t>
  </si>
  <si>
    <t>010-9489-6418</t>
  </si>
  <si>
    <t>김민수E</t>
  </si>
  <si>
    <t>010-2263-9150</t>
  </si>
  <si>
    <t>박재인</t>
  </si>
  <si>
    <t>010-2858-3559</t>
  </si>
  <si>
    <t>정현석</t>
  </si>
  <si>
    <t>010-4772-4435</t>
  </si>
  <si>
    <t>김형준B</t>
  </si>
  <si>
    <t>010-6259-0133</t>
  </si>
  <si>
    <t>복지성</t>
  </si>
  <si>
    <t>010-7581-8382</t>
  </si>
  <si>
    <t>노희재</t>
  </si>
  <si>
    <t>010-4043-6373</t>
  </si>
  <si>
    <t>이유경</t>
  </si>
  <si>
    <t>010-7660-1869</t>
  </si>
  <si>
    <t>조동익</t>
  </si>
  <si>
    <t>010-3696-3103</t>
  </si>
  <si>
    <t>문성진</t>
  </si>
  <si>
    <t>010-2338-3242</t>
  </si>
  <si>
    <t>정승진B</t>
  </si>
  <si>
    <t>010-2393-8905</t>
  </si>
  <si>
    <t>신명빈</t>
  </si>
  <si>
    <t>010-2223-8903</t>
  </si>
  <si>
    <t>박상권</t>
  </si>
  <si>
    <t>010-9063-9008</t>
  </si>
  <si>
    <t>손재원</t>
  </si>
  <si>
    <t>010-8277-7380</t>
  </si>
  <si>
    <t>장경환</t>
  </si>
  <si>
    <t>010-2061-4011</t>
  </si>
  <si>
    <t>심현우</t>
  </si>
  <si>
    <t>010-9114-0738</t>
  </si>
  <si>
    <t>정호진</t>
  </si>
  <si>
    <t>010-9391-7257</t>
  </si>
  <si>
    <t>고동군</t>
  </si>
  <si>
    <t>010-9472-2404</t>
  </si>
  <si>
    <t>성민혁</t>
  </si>
  <si>
    <t>010-3002-1270</t>
  </si>
  <si>
    <t>정진섭B</t>
  </si>
  <si>
    <t>010-8630-1638</t>
  </si>
  <si>
    <t>나현웅</t>
  </si>
  <si>
    <t>유종철</t>
  </si>
  <si>
    <t>010-3898-3832</t>
  </si>
  <si>
    <t>김도인</t>
  </si>
  <si>
    <t>010-4645-9106</t>
  </si>
  <si>
    <t>김민준C</t>
  </si>
  <si>
    <t>010-3364-2887</t>
  </si>
  <si>
    <t>김윤지B</t>
  </si>
  <si>
    <t>010-5532-1560</t>
  </si>
  <si>
    <t>오광호</t>
  </si>
  <si>
    <t>010-7777-4461</t>
  </si>
  <si>
    <t>임준섭</t>
  </si>
  <si>
    <t>010-9156-5586</t>
  </si>
  <si>
    <t>김진호D</t>
  </si>
  <si>
    <t>010-8968-0579</t>
  </si>
  <si>
    <t>김유진A</t>
  </si>
  <si>
    <t>010-7444-2726</t>
  </si>
  <si>
    <t>곽도훈</t>
  </si>
  <si>
    <t>김도영B</t>
  </si>
  <si>
    <t>010-5373-3046</t>
  </si>
  <si>
    <t>마백준</t>
  </si>
  <si>
    <t>010-4782-8861</t>
  </si>
  <si>
    <t>최창석</t>
  </si>
  <si>
    <t>010-9304-7561</t>
  </si>
  <si>
    <t>최진성</t>
  </si>
  <si>
    <t>010-2824-0693</t>
  </si>
  <si>
    <t>유종철A</t>
  </si>
  <si>
    <t>이동원C</t>
  </si>
  <si>
    <t>010-9833-7667</t>
  </si>
  <si>
    <t>박성태</t>
  </si>
  <si>
    <t>010-3945-4371</t>
  </si>
  <si>
    <t>최현용</t>
  </si>
  <si>
    <t>010-4095-4079</t>
  </si>
  <si>
    <t>문민규</t>
  </si>
  <si>
    <t>010-5588-3847</t>
  </si>
  <si>
    <t>김준기</t>
  </si>
  <si>
    <t>010-5092-9967</t>
  </si>
  <si>
    <t>박상건</t>
  </si>
  <si>
    <t>010-9480-6514</t>
  </si>
  <si>
    <t>황준상</t>
  </si>
  <si>
    <t>010-4734-3384</t>
  </si>
  <si>
    <t>이한욱</t>
  </si>
  <si>
    <t>010-4166-6175</t>
  </si>
  <si>
    <t>이학준</t>
  </si>
  <si>
    <t>010-2154-0619</t>
  </si>
  <si>
    <t>황호연</t>
  </si>
  <si>
    <t>010-2518-6502</t>
  </si>
  <si>
    <t>권세중</t>
  </si>
  <si>
    <t>010-4101-5329</t>
  </si>
  <si>
    <t>손강식</t>
  </si>
  <si>
    <t>010-7762-3945</t>
  </si>
  <si>
    <t>김건우D</t>
  </si>
  <si>
    <t>010-4141-0329</t>
  </si>
  <si>
    <t>김성일</t>
  </si>
  <si>
    <t>010-8082-9240</t>
  </si>
  <si>
    <t>한찬영</t>
  </si>
  <si>
    <t>010-5614-9739</t>
  </si>
  <si>
    <t>성한슬</t>
  </si>
  <si>
    <t>010-8398-2656</t>
  </si>
  <si>
    <t>이민재B</t>
  </si>
  <si>
    <t>010-2410-6353</t>
  </si>
  <si>
    <t>용성원</t>
  </si>
  <si>
    <t>010-9224-9521</t>
  </si>
  <si>
    <t>정우영B</t>
  </si>
  <si>
    <t>010-2044-6174</t>
  </si>
  <si>
    <t>조영재</t>
  </si>
  <si>
    <t>010-2622-3805</t>
  </si>
  <si>
    <t>김은규</t>
  </si>
  <si>
    <t>010-7620-0947</t>
  </si>
  <si>
    <t>백경민</t>
  </si>
  <si>
    <t>010-9445-0609</t>
  </si>
  <si>
    <t>손동명</t>
  </si>
  <si>
    <t>010-7499-2368</t>
  </si>
  <si>
    <t>허윤승</t>
  </si>
  <si>
    <t>010-2230-3495</t>
  </si>
  <si>
    <t>강원신</t>
  </si>
  <si>
    <t>이주한</t>
  </si>
  <si>
    <t>010-4928-1001</t>
  </si>
  <si>
    <t>박선호</t>
  </si>
  <si>
    <t>010-8748-4750</t>
  </si>
  <si>
    <t>임현태</t>
  </si>
  <si>
    <t>010-5338-1802</t>
  </si>
  <si>
    <t>신재협</t>
  </si>
  <si>
    <t>010-9497-2434</t>
  </si>
  <si>
    <t>지광식</t>
  </si>
  <si>
    <t>010-3209-8163</t>
  </si>
  <si>
    <t>이인철</t>
  </si>
  <si>
    <t>010-6543-0013</t>
  </si>
  <si>
    <t>박병기B</t>
  </si>
  <si>
    <t>010-3479-1333</t>
  </si>
  <si>
    <t>조하원</t>
  </si>
  <si>
    <t>010-6348-1171</t>
  </si>
  <si>
    <t>배상수</t>
  </si>
  <si>
    <t>010-3331-8548</t>
  </si>
  <si>
    <t>연자</t>
  </si>
  <si>
    <t>환급안함</t>
    <phoneticPr fontId="3" type="noConversion"/>
  </si>
  <si>
    <t>자차</t>
  </si>
  <si>
    <t>자차</t>
    <phoneticPr fontId="3" type="noConversion"/>
  </si>
  <si>
    <t>농협</t>
    <phoneticPr fontId="3" type="noConversion"/>
  </si>
  <si>
    <t>3021751549471</t>
    <phoneticPr fontId="3" type="noConversion"/>
  </si>
  <si>
    <t>상이 안내</t>
    <phoneticPr fontId="3" type="noConversion"/>
  </si>
  <si>
    <t>국민</t>
    <phoneticPr fontId="3" type="noConversion"/>
  </si>
  <si>
    <t>082210729367</t>
    <phoneticPr fontId="3" type="noConversion"/>
  </si>
  <si>
    <t>좌장 / 상이 안내</t>
    <phoneticPr fontId="3" type="noConversion"/>
  </si>
  <si>
    <t>서울특별시서울의료원</t>
    <phoneticPr fontId="3" type="noConversion"/>
  </si>
  <si>
    <t>우리</t>
    <phoneticPr fontId="3" type="noConversion"/>
  </si>
  <si>
    <t>1002244056730</t>
    <phoneticPr fontId="3" type="noConversion"/>
  </si>
  <si>
    <t>7일 택시 영수증 2건 전달, 1건만 환급 안내</t>
    <phoneticPr fontId="3" type="noConversion"/>
  </si>
  <si>
    <t>대중교통</t>
    <phoneticPr fontId="3" type="noConversion"/>
  </si>
  <si>
    <t>신한</t>
    <phoneticPr fontId="3" type="noConversion"/>
  </si>
  <si>
    <t>36704326920</t>
    <phoneticPr fontId="3" type="noConversion"/>
  </si>
  <si>
    <t>1002647927740</t>
    <phoneticPr fontId="3" type="noConversion"/>
  </si>
  <si>
    <t>110028603512</t>
    <phoneticPr fontId="3" type="noConversion"/>
  </si>
  <si>
    <t>하나</t>
    <phoneticPr fontId="3" type="noConversion"/>
  </si>
  <si>
    <t>57681016733907</t>
    <phoneticPr fontId="3" type="noConversion"/>
  </si>
  <si>
    <t>16291000409304</t>
    <phoneticPr fontId="3" type="noConversion"/>
  </si>
  <si>
    <t>28791057523207</t>
  </si>
  <si>
    <t>당일 영수증 없음</t>
    <phoneticPr fontId="3" type="noConversion"/>
  </si>
  <si>
    <t>기업</t>
    <phoneticPr fontId="3" type="noConversion"/>
  </si>
  <si>
    <t>15613321002012</t>
    <phoneticPr fontId="3" type="noConversion"/>
  </si>
  <si>
    <t>59704044023</t>
    <phoneticPr fontId="3" type="noConversion"/>
  </si>
  <si>
    <t>05650204165380</t>
    <phoneticPr fontId="3" type="noConversion"/>
  </si>
  <si>
    <t>62191098199807</t>
  </si>
  <si>
    <t>13891045235107</t>
    <phoneticPr fontId="3" type="noConversion"/>
  </si>
  <si>
    <t>12666706602001</t>
    <phoneticPr fontId="3" type="noConversion"/>
  </si>
  <si>
    <t>110219088340</t>
    <phoneticPr fontId="3" type="noConversion"/>
  </si>
  <si>
    <t>예금주 정은숙 상이안내</t>
    <phoneticPr fontId="3" type="noConversion"/>
  </si>
  <si>
    <t>28500381102103</t>
    <phoneticPr fontId="3" type="noConversion"/>
  </si>
  <si>
    <t>토스</t>
    <phoneticPr fontId="3" type="noConversion"/>
  </si>
  <si>
    <t>100062614088</t>
    <phoneticPr fontId="3" type="noConversion"/>
  </si>
  <si>
    <t>17111756054342</t>
    <phoneticPr fontId="3" type="noConversion"/>
  </si>
  <si>
    <t>연자 / 블루비용 발생 이 부분 같이 환급 - 팀장님 확인 완료</t>
    <phoneticPr fontId="3" type="noConversion"/>
  </si>
  <si>
    <t>35904313230</t>
    <phoneticPr fontId="3" type="noConversion"/>
  </si>
  <si>
    <t>1002934142334</t>
  </si>
  <si>
    <t>7일 기차 우등실 이용 일반실 기준 환급</t>
    <phoneticPr fontId="3" type="noConversion"/>
  </si>
  <si>
    <t>광주</t>
    <phoneticPr fontId="3" type="noConversion"/>
  </si>
  <si>
    <t>003122018416</t>
    <phoneticPr fontId="3" type="noConversion"/>
  </si>
  <si>
    <t>82130100081443</t>
    <phoneticPr fontId="3" type="noConversion"/>
  </si>
  <si>
    <t>자차</t>
    <phoneticPr fontId="3" type="noConversion"/>
  </si>
  <si>
    <t>3/9일 영수증 제출 불가 안내</t>
    <phoneticPr fontId="3" type="noConversion"/>
  </si>
  <si>
    <t>새마을</t>
    <phoneticPr fontId="3" type="noConversion"/>
  </si>
  <si>
    <t>9003280891336</t>
  </si>
  <si>
    <t>SC</t>
    <phoneticPr fontId="3" type="noConversion"/>
  </si>
  <si>
    <t>43820501158</t>
    <phoneticPr fontId="3" type="noConversion"/>
  </si>
  <si>
    <t>예금주명 KOH EUN JEE / 상이 안내</t>
    <phoneticPr fontId="3" type="noConversion"/>
  </si>
  <si>
    <t>농협</t>
    <phoneticPr fontId="3" type="noConversion"/>
  </si>
  <si>
    <t>3020809042711</t>
    <phoneticPr fontId="3" type="noConversion"/>
  </si>
  <si>
    <t>하나</t>
    <phoneticPr fontId="3" type="noConversion"/>
  </si>
  <si>
    <t>49991037882407</t>
    <phoneticPr fontId="3" type="noConversion"/>
  </si>
  <si>
    <t>토스</t>
    <phoneticPr fontId="3" type="noConversion"/>
  </si>
  <si>
    <t>100033101455</t>
    <phoneticPr fontId="3" type="noConversion"/>
  </si>
  <si>
    <t>신한</t>
    <phoneticPr fontId="3" type="noConversion"/>
  </si>
  <si>
    <t>110262629559</t>
    <phoneticPr fontId="3" type="noConversion"/>
  </si>
  <si>
    <t>국민</t>
    <phoneticPr fontId="3" type="noConversion"/>
  </si>
  <si>
    <t>223210440544</t>
    <phoneticPr fontId="3" type="noConversion"/>
  </si>
  <si>
    <t>43720204207573</t>
    <phoneticPr fontId="3" type="noConversion"/>
  </si>
  <si>
    <t>12720091532</t>
    <phoneticPr fontId="3" type="noConversion"/>
  </si>
  <si>
    <t>37891012706607</t>
    <phoneticPr fontId="3" type="noConversion"/>
  </si>
  <si>
    <t>카카오</t>
    <phoneticPr fontId="3" type="noConversion"/>
  </si>
  <si>
    <t>3333033598537</t>
    <phoneticPr fontId="3" type="noConversion"/>
  </si>
  <si>
    <t>우리</t>
    <phoneticPr fontId="3" type="noConversion"/>
  </si>
  <si>
    <t>1002131929597</t>
    <phoneticPr fontId="3" type="noConversion"/>
  </si>
  <si>
    <t>3/8 택시 영수증 2건 불가 안내 완</t>
    <phoneticPr fontId="3" type="noConversion"/>
  </si>
  <si>
    <t>자차</t>
    <phoneticPr fontId="3" type="noConversion"/>
  </si>
  <si>
    <t>하나</t>
    <phoneticPr fontId="3" type="noConversion"/>
  </si>
  <si>
    <t>74891040482807</t>
    <phoneticPr fontId="3" type="noConversion"/>
  </si>
  <si>
    <t>농협</t>
    <phoneticPr fontId="3" type="noConversion"/>
  </si>
  <si>
    <t>31306552147848</t>
  </si>
  <si>
    <t>대중교통</t>
    <phoneticPr fontId="3" type="noConversion"/>
  </si>
  <si>
    <t>국민</t>
    <phoneticPr fontId="3" type="noConversion"/>
  </si>
  <si>
    <t>308240172349</t>
    <phoneticPr fontId="3" type="noConversion"/>
  </si>
  <si>
    <t>농협</t>
    <phoneticPr fontId="3" type="noConversion"/>
  </si>
  <si>
    <t>10012756041362</t>
    <phoneticPr fontId="3" type="noConversion"/>
  </si>
  <si>
    <t>우리</t>
    <phoneticPr fontId="3" type="noConversion"/>
  </si>
  <si>
    <t>48505597303001</t>
    <phoneticPr fontId="3" type="noConversion"/>
  </si>
  <si>
    <t>하나</t>
    <phoneticPr fontId="3" type="noConversion"/>
  </si>
  <si>
    <t>58481006693707</t>
    <phoneticPr fontId="3" type="noConversion"/>
  </si>
  <si>
    <t>18635131802001</t>
    <phoneticPr fontId="3" type="noConversion"/>
  </si>
  <si>
    <t>7일 택시 영수증 1건만 전달 거래 확인증 필요</t>
    <phoneticPr fontId="3" type="noConversion"/>
  </si>
  <si>
    <t>32791039058607</t>
    <phoneticPr fontId="3" type="noConversion"/>
  </si>
  <si>
    <t>38219247302001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</si>
</sst>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_-* #,##0\ _D_M_-;\-* #,##0\ _D_M_-;_-* &quot;-&quot;\ _D_M_-;_-@_-"/>
    <numFmt numFmtId="177" formatCode="_ * #,##0_ ;_ * \-#,##0_ ;_ * &quot;-&quot;_ ;_ @_ 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[$-412]General"/>
    <numFmt numFmtId="182" formatCode="mm&quot;월&quot;\ dd&quot;일&quot;"/>
    <numFmt numFmtId="183" formatCode="0##\-####\-####"/>
  </numFmts>
  <fonts count="8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9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sz val="11"/>
      <color indexed="16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48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1"/>
    </font>
    <font>
      <sz val="11"/>
      <color indexed="10"/>
      <name val="Calibri"/>
      <family val="2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b/>
      <sz val="12"/>
      <color rgb="FFFF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Arial Unicode MS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9"/>
      <color rgb="FF202124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theme="1"/>
      <name val="돋움1"/>
      <charset val="129"/>
    </font>
    <font>
      <sz val="10"/>
      <name val="Times New Roman"/>
      <family val="1"/>
    </font>
    <font>
      <sz val="8"/>
      <name val="Arial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name val="돋움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바탕체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나눔스퀘어"/>
      <family val="2"/>
      <charset val="129"/>
    </font>
    <font>
      <sz val="11"/>
      <color rgb="FF000000"/>
      <name val="Malgun Gothic"/>
      <family val="3"/>
      <charset val="129"/>
    </font>
    <font>
      <sz val="10"/>
      <name val="맑은 고딕"/>
      <family val="2"/>
      <charset val="129"/>
    </font>
    <font>
      <sz val="8"/>
      <color rgb="FF202124"/>
      <name val="Roboto"/>
    </font>
    <font>
      <sz val="9"/>
      <color theme="1"/>
      <name val="Malgun Gothic"/>
      <family val="3"/>
      <charset val="129"/>
    </font>
    <font>
      <b/>
      <sz val="13"/>
      <color theme="1"/>
      <name val="맑은 고딕"/>
      <family val="2"/>
      <charset val="129"/>
      <scheme val="minor"/>
    </font>
  </fonts>
  <fills count="1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54"/>
      </patternFill>
    </fill>
    <fill>
      <patternFill patternType="solid">
        <fgColor indexed="57"/>
      </patternFill>
    </fill>
    <fill>
      <patternFill patternType="solid">
        <fgColor indexed="48"/>
        <bgColor indexed="48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25"/>
        <bgColor indexed="25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3"/>
        <bgColor indexed="23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42"/>
        <bgColor indexed="42"/>
      </patternFill>
    </fill>
    <fill>
      <patternFill patternType="solid">
        <fgColor indexed="43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1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43"/>
        <bgColor indexed="64"/>
      </patternFill>
    </fill>
    <fill>
      <patternFill patternType="solid">
        <fgColor indexed="6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0"/>
        <bgColor rgb="FFFFF2CC"/>
      </patternFill>
    </fill>
    <fill>
      <patternFill patternType="solid">
        <fgColor theme="8" tint="0.79998168889431442"/>
        <bgColor rgb="FFEAD1DC"/>
      </patternFill>
    </fill>
    <fill>
      <patternFill patternType="solid">
        <fgColor theme="0"/>
        <bgColor rgb="FFEAD1DC"/>
      </patternFill>
    </fill>
    <fill>
      <patternFill patternType="solid">
        <fgColor theme="9" tint="0.59999389629810485"/>
        <bgColor rgb="FFEAD1DC"/>
      </patternFill>
    </fill>
    <fill>
      <patternFill patternType="solid">
        <fgColor theme="6" tint="0.79998168889431442"/>
        <bgColor rgb="FFEAD1DC"/>
      </patternFill>
    </fill>
    <fill>
      <patternFill patternType="solid">
        <fgColor theme="8" tint="0.59999389629810485"/>
        <bgColor rgb="FFEAD1DC"/>
      </patternFill>
    </fill>
    <fill>
      <patternFill patternType="solid">
        <fgColor theme="6" tint="0.59999389629810485"/>
        <bgColor rgb="FFEAD1DC"/>
      </patternFill>
    </fill>
    <fill>
      <patternFill patternType="solid">
        <fgColor theme="8" tint="0.39997558519241921"/>
        <bgColor rgb="FFEAD1DC"/>
      </patternFill>
    </fill>
    <fill>
      <patternFill patternType="solid">
        <fgColor theme="9" tint="0.39997558519241921"/>
        <bgColor rgb="FFEAD1DC"/>
      </patternFill>
    </fill>
    <fill>
      <patternFill patternType="solid">
        <fgColor theme="4" tint="0.59999389629810485"/>
        <bgColor rgb="FFEAD1DC"/>
      </patternFill>
    </fill>
    <fill>
      <patternFill patternType="solid">
        <fgColor theme="9" tint="0.79998168889431442"/>
        <bgColor rgb="FFEAD1DC"/>
      </patternFill>
    </fill>
    <fill>
      <patternFill patternType="solid">
        <fgColor theme="5" tint="0.79998168889431442"/>
        <bgColor rgb="FFEAD1DC"/>
      </patternFill>
    </fill>
    <fill>
      <patternFill patternType="solid">
        <fgColor theme="3" tint="0.79998168889431442"/>
        <bgColor rgb="FFEAD1DC"/>
      </patternFill>
    </fill>
    <fill>
      <patternFill patternType="solid">
        <fgColor theme="7" tint="0.59999389629810485"/>
        <bgColor rgb="FFEAD1DC"/>
      </patternFill>
    </fill>
    <fill>
      <patternFill patternType="solid">
        <fgColor theme="2" tint="-9.9978637043366805E-2"/>
        <bgColor rgb="FFEAD1DC"/>
      </patternFill>
    </fill>
    <fill>
      <patternFill patternType="solid">
        <fgColor theme="3" tint="0.59999389629810485"/>
        <bgColor rgb="FFEAD1DC"/>
      </patternFill>
    </fill>
    <fill>
      <patternFill patternType="solid">
        <fgColor theme="5" tint="0.59999389629810485"/>
        <bgColor rgb="FFEAD1DC"/>
      </patternFill>
    </fill>
    <fill>
      <patternFill patternType="solid">
        <fgColor theme="1" tint="0.499984740745262"/>
        <bgColor rgb="FFEAD1DC"/>
      </patternFill>
    </fill>
    <fill>
      <patternFill patternType="solid">
        <fgColor theme="4" tint="0.79998168889431442"/>
        <bgColor rgb="FFEAD1DC"/>
      </patternFill>
    </fill>
    <fill>
      <patternFill patternType="solid">
        <fgColor theme="7" tint="0.79998168889431442"/>
        <bgColor rgb="FFEAD1DC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5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5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0" fontId="9" fillId="0" borderId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4" fillId="0" borderId="0"/>
    <xf numFmtId="0" fontId="15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6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0" borderId="0" applyNumberFormat="0" applyBorder="0" applyAlignment="0" applyProtection="0"/>
    <xf numFmtId="0" fontId="15" fillId="29" borderId="0" applyNumberFormat="0" applyBorder="0" applyAlignment="0" applyProtection="0"/>
    <xf numFmtId="0" fontId="17" fillId="20" borderId="0" applyNumberFormat="0" applyBorder="0" applyAlignment="0" applyProtection="0"/>
    <xf numFmtId="0" fontId="18" fillId="30" borderId="9" applyNumberFormat="0" applyAlignment="0" applyProtection="0"/>
    <xf numFmtId="0" fontId="19" fillId="21" borderId="10" applyNumberFormat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20" fillId="33" borderId="0" applyNumberFormat="0" applyBorder="0" applyAlignment="0" applyProtection="0"/>
    <xf numFmtId="0" fontId="21" fillId="34" borderId="0" applyNumberFormat="0" applyBorder="0" applyAlignment="0" applyProtection="0"/>
    <xf numFmtId="0" fontId="22" fillId="0" borderId="11" applyNumberFormat="0" applyFill="0" applyAlignment="0" applyProtection="0"/>
    <xf numFmtId="0" fontId="23" fillId="0" borderId="12" applyNumberFormat="0" applyFill="0" applyAlignment="0" applyProtection="0"/>
    <xf numFmtId="0" fontId="24" fillId="0" borderId="13" applyNumberFormat="0" applyFill="0" applyAlignment="0" applyProtection="0"/>
    <xf numFmtId="0" fontId="24" fillId="0" borderId="0" applyNumberFormat="0" applyFill="0" applyBorder="0" applyAlignment="0" applyProtection="0"/>
    <xf numFmtId="0" fontId="25" fillId="29" borderId="9" applyNumberFormat="0" applyAlignment="0" applyProtection="0"/>
    <xf numFmtId="0" fontId="26" fillId="0" borderId="14" applyNumberFormat="0" applyFill="0" applyAlignment="0" applyProtection="0"/>
    <xf numFmtId="0" fontId="27" fillId="29" borderId="0" applyNumberFormat="0" applyBorder="0" applyAlignment="0" applyProtection="0"/>
    <xf numFmtId="0" fontId="14" fillId="28" borderId="15" applyNumberFormat="0" applyFont="0" applyAlignment="0" applyProtection="0"/>
    <xf numFmtId="0" fontId="28" fillId="30" borderId="16" applyNumberFormat="0" applyAlignment="0" applyProtection="0"/>
    <xf numFmtId="4" fontId="29" fillId="35" borderId="17" applyNumberFormat="0" applyProtection="0">
      <alignment vertical="center"/>
    </xf>
    <xf numFmtId="4" fontId="30" fillId="35" borderId="17" applyNumberFormat="0" applyProtection="0">
      <alignment vertical="center"/>
    </xf>
    <xf numFmtId="4" fontId="29" fillId="35" borderId="17" applyNumberFormat="0" applyProtection="0">
      <alignment horizontal="left" vertical="center" indent="1"/>
    </xf>
    <xf numFmtId="0" fontId="29" fillId="35" borderId="17" applyNumberFormat="0" applyProtection="0">
      <alignment horizontal="left" vertical="top" indent="1"/>
    </xf>
    <xf numFmtId="4" fontId="29" fillId="6" borderId="0" applyNumberFormat="0" applyProtection="0">
      <alignment horizontal="left" vertical="center" indent="1"/>
    </xf>
    <xf numFmtId="4" fontId="31" fillId="11" borderId="17" applyNumberFormat="0" applyProtection="0">
      <alignment horizontal="right" vertical="center"/>
    </xf>
    <xf numFmtId="4" fontId="31" fillId="7" borderId="17" applyNumberFormat="0" applyProtection="0">
      <alignment horizontal="right" vertical="center"/>
    </xf>
    <xf numFmtId="4" fontId="31" fillId="36" borderId="17" applyNumberFormat="0" applyProtection="0">
      <alignment horizontal="right" vertical="center"/>
    </xf>
    <xf numFmtId="4" fontId="31" fillId="37" borderId="17" applyNumberFormat="0" applyProtection="0">
      <alignment horizontal="right" vertical="center"/>
    </xf>
    <xf numFmtId="4" fontId="31" fillId="38" borderId="17" applyNumberFormat="0" applyProtection="0">
      <alignment horizontal="right" vertical="center"/>
    </xf>
    <xf numFmtId="4" fontId="31" fillId="39" borderId="17" applyNumberFormat="0" applyProtection="0">
      <alignment horizontal="right" vertical="center"/>
    </xf>
    <xf numFmtId="4" fontId="31" fillId="13" borderId="17" applyNumberFormat="0" applyProtection="0">
      <alignment horizontal="right" vertical="center"/>
    </xf>
    <xf numFmtId="4" fontId="31" fillId="40" borderId="17" applyNumberFormat="0" applyProtection="0">
      <alignment horizontal="right" vertical="center"/>
    </xf>
    <xf numFmtId="4" fontId="31" fillId="41" borderId="17" applyNumberFormat="0" applyProtection="0">
      <alignment horizontal="right" vertical="center"/>
    </xf>
    <xf numFmtId="4" fontId="29" fillId="42" borderId="18" applyNumberFormat="0" applyProtection="0">
      <alignment horizontal="left" vertical="center" indent="1"/>
    </xf>
    <xf numFmtId="4" fontId="31" fillId="43" borderId="0" applyNumberFormat="0" applyProtection="0">
      <alignment horizontal="left" vertical="center" indent="1"/>
    </xf>
    <xf numFmtId="4" fontId="32" fillId="12" borderId="0" applyNumberFormat="0" applyProtection="0">
      <alignment horizontal="left" vertical="center" indent="1"/>
    </xf>
    <xf numFmtId="4" fontId="31" fillId="6" borderId="17" applyNumberFormat="0" applyProtection="0">
      <alignment horizontal="right" vertical="center"/>
    </xf>
    <xf numFmtId="4" fontId="31" fillId="43" borderId="0" applyNumberFormat="0" applyProtection="0">
      <alignment horizontal="left" vertical="center" indent="1"/>
    </xf>
    <xf numFmtId="4" fontId="31" fillId="6" borderId="0" applyNumberFormat="0" applyProtection="0">
      <alignment horizontal="left" vertical="center" indent="1"/>
    </xf>
    <xf numFmtId="0" fontId="14" fillId="12" borderId="17" applyNumberFormat="0" applyProtection="0">
      <alignment horizontal="left" vertical="center" indent="1"/>
    </xf>
    <xf numFmtId="0" fontId="14" fillId="12" borderId="17" applyNumberFormat="0" applyProtection="0">
      <alignment horizontal="left" vertical="top" indent="1"/>
    </xf>
    <xf numFmtId="0" fontId="14" fillId="6" borderId="17" applyNumberFormat="0" applyProtection="0">
      <alignment horizontal="left" vertical="center" indent="1"/>
    </xf>
    <xf numFmtId="0" fontId="14" fillId="6" borderId="17" applyNumberFormat="0" applyProtection="0">
      <alignment horizontal="left" vertical="top" indent="1"/>
    </xf>
    <xf numFmtId="0" fontId="14" fillId="10" borderId="17" applyNumberFormat="0" applyProtection="0">
      <alignment horizontal="left" vertical="center" indent="1"/>
    </xf>
    <xf numFmtId="0" fontId="14" fillId="10" borderId="17" applyNumberFormat="0" applyProtection="0">
      <alignment horizontal="left" vertical="top" indent="1"/>
    </xf>
    <xf numFmtId="0" fontId="14" fillId="43" borderId="17" applyNumberFormat="0" applyProtection="0">
      <alignment horizontal="left" vertical="center" indent="1"/>
    </xf>
    <xf numFmtId="0" fontId="14" fillId="43" borderId="17" applyNumberFormat="0" applyProtection="0">
      <alignment horizontal="left" vertical="top" indent="1"/>
    </xf>
    <xf numFmtId="0" fontId="14" fillId="9" borderId="3" applyNumberFormat="0">
      <protection locked="0"/>
    </xf>
    <xf numFmtId="4" fontId="31" fillId="8" borderId="17" applyNumberFormat="0" applyProtection="0">
      <alignment vertical="center"/>
    </xf>
    <xf numFmtId="4" fontId="33" fillId="8" borderId="17" applyNumberFormat="0" applyProtection="0">
      <alignment vertical="center"/>
    </xf>
    <xf numFmtId="4" fontId="31" fillId="8" borderId="17" applyNumberFormat="0" applyProtection="0">
      <alignment horizontal="left" vertical="center" indent="1"/>
    </xf>
    <xf numFmtId="0" fontId="31" fillId="8" borderId="17" applyNumberFormat="0" applyProtection="0">
      <alignment horizontal="left" vertical="top" indent="1"/>
    </xf>
    <xf numFmtId="4" fontId="31" fillId="43" borderId="17" applyNumberFormat="0" applyProtection="0">
      <alignment horizontal="right" vertical="center"/>
    </xf>
    <xf numFmtId="4" fontId="33" fillId="43" borderId="17" applyNumberFormat="0" applyProtection="0">
      <alignment horizontal="right" vertical="center"/>
    </xf>
    <xf numFmtId="4" fontId="31" fillId="6" borderId="17" applyNumberFormat="0" applyProtection="0">
      <alignment horizontal="left" vertical="center" indent="1"/>
    </xf>
    <xf numFmtId="0" fontId="31" fillId="6" borderId="17" applyNumberFormat="0" applyProtection="0">
      <alignment horizontal="left" vertical="top" indent="1"/>
    </xf>
    <xf numFmtId="4" fontId="34" fillId="44" borderId="0" applyNumberFormat="0" applyProtection="0">
      <alignment horizontal="left" vertical="center" indent="1"/>
    </xf>
    <xf numFmtId="4" fontId="35" fillId="43" borderId="17" applyNumberFormat="0" applyProtection="0">
      <alignment horizontal="right" vertical="center"/>
    </xf>
    <xf numFmtId="0" fontId="36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37" fillId="0" borderId="0" applyNumberFormat="0" applyFill="0" applyBorder="0" applyAlignment="0" applyProtection="0"/>
    <xf numFmtId="176" fontId="14" fillId="0" borderId="0" applyFont="0" applyFill="0" applyBorder="0" applyAlignment="0" applyProtection="0"/>
    <xf numFmtId="0" fontId="1" fillId="0" borderId="0">
      <alignment vertical="center"/>
    </xf>
    <xf numFmtId="0" fontId="38" fillId="0" borderId="0"/>
    <xf numFmtId="0" fontId="39" fillId="0" borderId="0"/>
    <xf numFmtId="0" fontId="11" fillId="0" borderId="0"/>
    <xf numFmtId="0" fontId="11" fillId="53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65" borderId="0" applyNumberFormat="0" applyBorder="0" applyAlignment="0" applyProtection="0">
      <alignment vertical="center"/>
    </xf>
    <xf numFmtId="0" fontId="11" fillId="69" borderId="0" applyNumberFormat="0" applyBorder="0" applyAlignment="0" applyProtection="0">
      <alignment vertical="center"/>
    </xf>
    <xf numFmtId="0" fontId="11" fillId="73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8" borderId="0" applyNumberFormat="0" applyBorder="0" applyAlignment="0" applyProtection="0">
      <alignment vertical="center"/>
    </xf>
    <xf numFmtId="0" fontId="11" fillId="62" borderId="0" applyNumberFormat="0" applyBorder="0" applyAlignment="0" applyProtection="0">
      <alignment vertical="center"/>
    </xf>
    <xf numFmtId="0" fontId="11" fillId="66" borderId="0" applyNumberFormat="0" applyBorder="0" applyAlignment="0" applyProtection="0">
      <alignment vertical="center"/>
    </xf>
    <xf numFmtId="0" fontId="11" fillId="70" borderId="0" applyNumberFormat="0" applyBorder="0" applyAlignment="0" applyProtection="0">
      <alignment vertical="center"/>
    </xf>
    <xf numFmtId="0" fontId="11" fillId="74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63" borderId="0" applyNumberFormat="0" applyBorder="0" applyAlignment="0" applyProtection="0">
      <alignment vertical="center"/>
    </xf>
    <xf numFmtId="0" fontId="43" fillId="67" borderId="0" applyNumberFormat="0" applyBorder="0" applyAlignment="0" applyProtection="0">
      <alignment vertical="center"/>
    </xf>
    <xf numFmtId="0" fontId="43" fillId="71" borderId="0" applyNumberFormat="0" applyBorder="0" applyAlignment="0" applyProtection="0">
      <alignment vertical="center"/>
    </xf>
    <xf numFmtId="0" fontId="43" fillId="75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  <xf numFmtId="0" fontId="43" fillId="68" borderId="0" applyNumberFormat="0" applyBorder="0" applyAlignment="0" applyProtection="0">
      <alignment vertical="center"/>
    </xf>
    <xf numFmtId="0" fontId="43" fillId="72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9" borderId="25" applyNumberFormat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11" fillId="51" borderId="29" applyNumberFormat="0" applyFont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50" borderId="28" applyNumberFormat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51" fillId="48" borderId="25" applyNumberFormat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7" fillId="49" borderId="26" applyNumberFormat="0" applyAlignment="0" applyProtection="0">
      <alignment vertical="center"/>
    </xf>
    <xf numFmtId="0" fontId="11" fillId="0" borderId="0">
      <alignment vertical="center"/>
    </xf>
    <xf numFmtId="0" fontId="42" fillId="0" borderId="0">
      <alignment vertical="center"/>
    </xf>
    <xf numFmtId="0" fontId="5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9" fillId="0" borderId="0"/>
    <xf numFmtId="0" fontId="14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39" fillId="0" borderId="0"/>
    <xf numFmtId="0" fontId="1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38" fillId="0" borderId="0"/>
    <xf numFmtId="0" fontId="11" fillId="53" borderId="0" applyNumberFormat="0" applyBorder="0" applyAlignment="0" applyProtection="0">
      <alignment vertical="center"/>
    </xf>
    <xf numFmtId="0" fontId="11" fillId="53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11" fillId="57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11" fillId="61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11" fillId="65" borderId="0" applyNumberFormat="0" applyBorder="0" applyAlignment="0" applyProtection="0">
      <alignment vertical="center"/>
    </xf>
    <xf numFmtId="0" fontId="11" fillId="65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11" fillId="69" borderId="0" applyNumberFormat="0" applyBorder="0" applyAlignment="0" applyProtection="0">
      <alignment vertical="center"/>
    </xf>
    <xf numFmtId="0" fontId="11" fillId="6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11" fillId="73" borderId="0" applyNumberFormat="0" applyBorder="0" applyAlignment="0" applyProtection="0">
      <alignment vertical="center"/>
    </xf>
    <xf numFmtId="0" fontId="11" fillId="73" borderId="0" applyNumberFormat="0" applyBorder="0" applyAlignment="0" applyProtection="0">
      <alignment vertical="center"/>
    </xf>
    <xf numFmtId="0" fontId="60" fillId="80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11" fillId="5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11" fillId="58" borderId="0" applyNumberFormat="0" applyBorder="0" applyAlignment="0" applyProtection="0">
      <alignment vertical="center"/>
    </xf>
    <xf numFmtId="0" fontId="11" fillId="58" borderId="0" applyNumberFormat="0" applyBorder="0" applyAlignment="0" applyProtection="0">
      <alignment vertical="center"/>
    </xf>
    <xf numFmtId="0" fontId="60" fillId="7" borderId="0" applyNumberFormat="0" applyBorder="0" applyAlignment="0" applyProtection="0">
      <alignment vertical="center"/>
    </xf>
    <xf numFmtId="0" fontId="11" fillId="62" borderId="0" applyNumberFormat="0" applyBorder="0" applyAlignment="0" applyProtection="0">
      <alignment vertical="center"/>
    </xf>
    <xf numFmtId="0" fontId="11" fillId="62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11" fillId="66" borderId="0" applyNumberFormat="0" applyBorder="0" applyAlignment="0" applyProtection="0">
      <alignment vertical="center"/>
    </xf>
    <xf numFmtId="0" fontId="11" fillId="66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11" fillId="70" borderId="0" applyNumberFormat="0" applyBorder="0" applyAlignment="0" applyProtection="0">
      <alignment vertical="center"/>
    </xf>
    <xf numFmtId="0" fontId="11" fillId="7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11" fillId="74" borderId="0" applyNumberFormat="0" applyBorder="0" applyAlignment="0" applyProtection="0">
      <alignment vertical="center"/>
    </xf>
    <xf numFmtId="0" fontId="11" fillId="74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43" fillId="55" borderId="0" applyNumberFormat="0" applyBorder="0" applyAlignment="0" applyProtection="0">
      <alignment vertical="center"/>
    </xf>
    <xf numFmtId="0" fontId="61" fillId="81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43" fillId="63" borderId="0" applyNumberFormat="0" applyBorder="0" applyAlignment="0" applyProtection="0">
      <alignment vertical="center"/>
    </xf>
    <xf numFmtId="0" fontId="43" fillId="63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43" fillId="67" borderId="0" applyNumberFormat="0" applyBorder="0" applyAlignment="0" applyProtection="0">
      <alignment vertical="center"/>
    </xf>
    <xf numFmtId="0" fontId="43" fillId="67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43" fillId="71" borderId="0" applyNumberFormat="0" applyBorder="0" applyAlignment="0" applyProtection="0">
      <alignment vertical="center"/>
    </xf>
    <xf numFmtId="0" fontId="43" fillId="71" borderId="0" applyNumberFormat="0" applyBorder="0" applyAlignment="0" applyProtection="0">
      <alignment vertical="center"/>
    </xf>
    <xf numFmtId="0" fontId="61" fillId="83" borderId="0" applyNumberFormat="0" applyBorder="0" applyAlignment="0" applyProtection="0">
      <alignment vertical="center"/>
    </xf>
    <xf numFmtId="0" fontId="43" fillId="75" borderId="0" applyNumberFormat="0" applyBorder="0" applyAlignment="0" applyProtection="0">
      <alignment vertical="center"/>
    </xf>
    <xf numFmtId="0" fontId="43" fillId="75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177" fontId="14" fillId="0" borderId="0" applyFont="0" applyFill="0" applyBorder="0" applyAlignment="0" applyProtection="0"/>
    <xf numFmtId="178" fontId="14" fillId="0" borderId="0" applyFont="0" applyFill="0" applyBorder="0" applyAlignment="0" applyProtection="0"/>
    <xf numFmtId="179" fontId="14" fillId="0" borderId="0" applyFont="0" applyFill="0" applyBorder="0" applyAlignment="0" applyProtection="0"/>
    <xf numFmtId="180" fontId="14" fillId="0" borderId="0" applyFont="0" applyFill="0" applyBorder="0" applyAlignment="0" applyProtection="0"/>
    <xf numFmtId="181" fontId="62" fillId="0" borderId="0"/>
    <xf numFmtId="0" fontId="63" fillId="0" borderId="0"/>
    <xf numFmtId="0" fontId="60" fillId="0" borderId="0">
      <alignment vertical="center"/>
    </xf>
    <xf numFmtId="0" fontId="60" fillId="0" borderId="0">
      <alignment vertical="center"/>
    </xf>
    <xf numFmtId="4" fontId="64" fillId="84" borderId="35" applyNumberFormat="0" applyProtection="0">
      <alignment horizontal="left" vertical="center" indent="1"/>
    </xf>
    <xf numFmtId="0" fontId="60" fillId="0" borderId="0">
      <alignment vertical="center"/>
    </xf>
    <xf numFmtId="4" fontId="64" fillId="83" borderId="35" applyNumberFormat="0" applyProtection="0">
      <alignment horizontal="left" vertical="center" indent="1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4" fillId="9" borderId="3" applyNumberFormat="0"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" fontId="64" fillId="0" borderId="35" applyNumberFormat="0" applyProtection="0">
      <alignment horizontal="right" vertical="center"/>
    </xf>
    <xf numFmtId="0" fontId="60" fillId="0" borderId="0">
      <alignment vertical="center"/>
    </xf>
    <xf numFmtId="4" fontId="64" fillId="83" borderId="35" applyNumberFormat="0" applyProtection="0">
      <alignment horizontal="left" vertical="center" indent="1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3" fillId="52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0" fontId="61" fillId="8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61" fillId="36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61" fillId="13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  <xf numFmtId="0" fontId="61" fillId="82" borderId="0" applyNumberFormat="0" applyBorder="0" applyAlignment="0" applyProtection="0">
      <alignment vertical="center"/>
    </xf>
    <xf numFmtId="0" fontId="43" fillId="68" borderId="0" applyNumberFormat="0" applyBorder="0" applyAlignment="0" applyProtection="0">
      <alignment vertical="center"/>
    </xf>
    <xf numFmtId="0" fontId="43" fillId="68" borderId="0" applyNumberFormat="0" applyBorder="0" applyAlignment="0" applyProtection="0">
      <alignment vertical="center"/>
    </xf>
    <xf numFmtId="0" fontId="61" fillId="83" borderId="0" applyNumberFormat="0" applyBorder="0" applyAlignment="0" applyProtection="0">
      <alignment vertical="center"/>
    </xf>
    <xf numFmtId="0" fontId="43" fillId="72" borderId="0" applyNumberFormat="0" applyBorder="0" applyAlignment="0" applyProtection="0">
      <alignment vertical="center"/>
    </xf>
    <xf numFmtId="0" fontId="43" fillId="72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5" fillId="49" borderId="25" applyNumberFormat="0" applyAlignment="0" applyProtection="0">
      <alignment vertical="center"/>
    </xf>
    <xf numFmtId="0" fontId="45" fillId="49" borderId="25" applyNumberFormat="0" applyAlignment="0" applyProtection="0">
      <alignment vertical="center"/>
    </xf>
    <xf numFmtId="0" fontId="66" fillId="86" borderId="9" applyNumberFormat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0" fillId="51" borderId="29" applyNumberFormat="0" applyFont="0" applyAlignment="0" applyProtection="0">
      <alignment vertical="center"/>
    </xf>
    <xf numFmtId="0" fontId="60" fillId="51" borderId="29" applyNumberFormat="0" applyFont="0" applyAlignment="0" applyProtection="0">
      <alignment vertical="center"/>
    </xf>
    <xf numFmtId="0" fontId="68" fillId="8" borderId="15" applyNumberFormat="0" applyFont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69" fillId="3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9" fillId="50" borderId="28" applyNumberFormat="0" applyAlignment="0" applyProtection="0">
      <alignment vertical="center"/>
    </xf>
    <xf numFmtId="0" fontId="49" fillId="50" borderId="28" applyNumberFormat="0" applyAlignment="0" applyProtection="0">
      <alignment vertical="center"/>
    </xf>
    <xf numFmtId="0" fontId="71" fillId="87" borderId="10" applyNumberFormat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50" fillId="0" borderId="27" applyNumberFormat="0" applyFill="0" applyAlignment="0" applyProtection="0">
      <alignment vertical="center"/>
    </xf>
    <xf numFmtId="0" fontId="72" fillId="0" borderId="36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73" fillId="0" borderId="37" applyNumberFormat="0" applyFill="0" applyAlignment="0" applyProtection="0">
      <alignment vertical="center"/>
    </xf>
    <xf numFmtId="0" fontId="51" fillId="48" borderId="25" applyNumberFormat="0" applyAlignment="0" applyProtection="0">
      <alignment vertical="center"/>
    </xf>
    <xf numFmtId="0" fontId="51" fillId="48" borderId="25" applyNumberFormat="0" applyAlignment="0" applyProtection="0">
      <alignment vertical="center"/>
    </xf>
    <xf numFmtId="0" fontId="74" fillId="80" borderId="9" applyNumberFormat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53" fillId="0" borderId="22" applyNumberFormat="0" applyFill="0" applyAlignment="0" applyProtection="0">
      <alignment vertical="center"/>
    </xf>
    <xf numFmtId="0" fontId="75" fillId="0" borderId="38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54" fillId="0" borderId="23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55" fillId="0" borderId="24" applyNumberFormat="0" applyFill="0" applyAlignment="0" applyProtection="0">
      <alignment vertical="center"/>
    </xf>
    <xf numFmtId="0" fontId="77" fillId="0" borderId="39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56" fillId="45" borderId="0" applyNumberFormat="0" applyBorder="0" applyAlignment="0" applyProtection="0">
      <alignment vertical="center"/>
    </xf>
    <xf numFmtId="0" fontId="79" fillId="77" borderId="0" applyNumberFormat="0" applyBorder="0" applyAlignment="0" applyProtection="0">
      <alignment vertical="center"/>
    </xf>
    <xf numFmtId="0" fontId="57" fillId="49" borderId="26" applyNumberFormat="0" applyAlignment="0" applyProtection="0">
      <alignment vertical="center"/>
    </xf>
    <xf numFmtId="0" fontId="57" fillId="49" borderId="26" applyNumberFormat="0" applyAlignment="0" applyProtection="0">
      <alignment vertical="center"/>
    </xf>
    <xf numFmtId="0" fontId="80" fillId="86" borderId="16" applyNumberFormat="0" applyAlignment="0" applyProtection="0">
      <alignment vertical="center"/>
    </xf>
    <xf numFmtId="177" fontId="81" fillId="0" borderId="0" applyFont="0" applyFill="0" applyBorder="0" applyAlignment="0" applyProtection="0"/>
    <xf numFmtId="178" fontId="8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82" fillId="0" borderId="0" applyNumberFormat="0" applyFill="0" applyBorder="0" applyAlignment="0" applyProtection="0">
      <alignment vertical="center"/>
    </xf>
    <xf numFmtId="0" fontId="1" fillId="0" borderId="0">
      <alignment vertical="center"/>
    </xf>
    <xf numFmtId="0" fontId="9" fillId="0" borderId="0"/>
    <xf numFmtId="0" fontId="83" fillId="0" borderId="0">
      <alignment vertical="center"/>
    </xf>
    <xf numFmtId="0" fontId="68" fillId="0" borderId="0">
      <alignment vertical="center"/>
    </xf>
    <xf numFmtId="0" fontId="9" fillId="0" borderId="0">
      <alignment vertical="center"/>
    </xf>
    <xf numFmtId="0" fontId="60" fillId="51" borderId="29" applyNumberFormat="0" applyFont="0" applyAlignment="0" applyProtection="0">
      <alignment vertical="center"/>
    </xf>
    <xf numFmtId="0" fontId="84" fillId="0" borderId="0"/>
  </cellStyleXfs>
  <cellXfs count="14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4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6" fillId="3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41" fontId="0" fillId="0" borderId="3" xfId="0" applyNumberFormat="1" applyBorder="1">
      <alignment vertical="center"/>
    </xf>
    <xf numFmtId="0" fontId="0" fillId="5" borderId="3" xfId="0" applyFill="1" applyBorder="1" applyAlignment="1">
      <alignment horizontal="center" vertical="center"/>
    </xf>
    <xf numFmtId="41" fontId="4" fillId="0" borderId="3" xfId="1" applyFont="1" applyBorder="1" applyAlignment="1">
      <alignment horizontal="center" vertical="center"/>
    </xf>
    <xf numFmtId="41" fontId="4" fillId="0" borderId="3" xfId="1" applyFont="1" applyBorder="1" applyAlignment="1">
      <alignment horizontal="right" vertical="center"/>
    </xf>
    <xf numFmtId="41" fontId="41" fillId="0" borderId="20" xfId="1" applyFont="1" applyFill="1" applyBorder="1" applyAlignment="1">
      <alignment horizontal="center" vertical="center"/>
    </xf>
    <xf numFmtId="41" fontId="40" fillId="0" borderId="21" xfId="1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182" fontId="5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7" fillId="0" borderId="0" xfId="0" applyNumberFormat="1" applyFont="1">
      <alignment vertical="center"/>
    </xf>
    <xf numFmtId="0" fontId="6" fillId="88" borderId="1" xfId="0" applyFont="1" applyFill="1" applyBorder="1" applyAlignment="1">
      <alignment horizontal="center" vertical="center"/>
    </xf>
    <xf numFmtId="0" fontId="12" fillId="88" borderId="3" xfId="0" applyFont="1" applyFill="1" applyBorder="1" applyAlignment="1">
      <alignment horizontal="center" vertical="center"/>
    </xf>
    <xf numFmtId="0" fontId="8" fillId="88" borderId="3" xfId="0" applyFont="1" applyFill="1" applyBorder="1" applyAlignment="1">
      <alignment horizontal="center" vertical="center" wrapText="1"/>
    </xf>
    <xf numFmtId="41" fontId="6" fillId="88" borderId="3" xfId="1" applyFont="1" applyFill="1" applyBorder="1" applyAlignment="1">
      <alignment horizontal="center" vertical="center"/>
    </xf>
    <xf numFmtId="41" fontId="6" fillId="3" borderId="3" xfId="1" applyFont="1" applyFill="1" applyBorder="1" applyAlignment="1">
      <alignment horizontal="center" vertical="center"/>
    </xf>
    <xf numFmtId="41" fontId="7" fillId="0" borderId="0" xfId="0" applyNumberFormat="1" applyFont="1" applyAlignment="1">
      <alignment horizontal="center" vertical="center"/>
    </xf>
    <xf numFmtId="41" fontId="41" fillId="88" borderId="3" xfId="1" applyFont="1" applyFill="1" applyBorder="1" applyAlignment="1">
      <alignment horizontal="center" vertical="center"/>
    </xf>
    <xf numFmtId="41" fontId="40" fillId="88" borderId="3" xfId="1" applyFont="1" applyFill="1" applyBorder="1" applyAlignment="1">
      <alignment horizontal="center" vertical="center"/>
    </xf>
    <xf numFmtId="0" fontId="8" fillId="88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88" borderId="3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49" fontId="86" fillId="0" borderId="0" xfId="0" applyNumberFormat="1" applyFont="1">
      <alignment vertical="center"/>
    </xf>
    <xf numFmtId="49" fontId="0" fillId="0" borderId="0" xfId="0" applyNumberFormat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12" fillId="88" borderId="3" xfId="0" applyNumberFormat="1" applyFont="1" applyFill="1" applyBorder="1" applyAlignment="1">
      <alignment horizontal="center" vertical="center"/>
    </xf>
    <xf numFmtId="49" fontId="8" fillId="88" borderId="3" xfId="0" quotePrefix="1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2" fillId="88" borderId="3" xfId="0" quotePrefix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41" fontId="41" fillId="3" borderId="3" xfId="1" applyFont="1" applyFill="1" applyBorder="1" applyAlignment="1">
      <alignment horizontal="center" vertical="center"/>
    </xf>
    <xf numFmtId="41" fontId="40" fillId="3" borderId="3" xfId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49" fontId="59" fillId="3" borderId="3" xfId="0" quotePrefix="1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85" fillId="3" borderId="3" xfId="0" applyFont="1" applyFill="1" applyBorder="1" applyAlignment="1">
      <alignment horizontal="center" vertical="center"/>
    </xf>
    <xf numFmtId="49" fontId="59" fillId="88" borderId="3" xfId="0" quotePrefix="1" applyNumberFormat="1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41" fontId="0" fillId="0" borderId="0" xfId="0" applyNumberFormat="1" applyAlignment="1">
      <alignment vertical="center" wrapText="1"/>
    </xf>
    <xf numFmtId="183" fontId="87" fillId="90" borderId="3" xfId="0" applyNumberFormat="1" applyFont="1" applyFill="1" applyBorder="1" applyAlignment="1">
      <alignment horizontal="center" vertical="center" wrapText="1"/>
    </xf>
    <xf numFmtId="183" fontId="87" fillId="89" borderId="3" xfId="0" applyNumberFormat="1" applyFont="1" applyFill="1" applyBorder="1" applyAlignment="1">
      <alignment horizontal="center" vertical="center" wrapText="1"/>
    </xf>
    <xf numFmtId="0" fontId="88" fillId="91" borderId="3" xfId="0" applyFont="1" applyFill="1" applyBorder="1" applyAlignment="1">
      <alignment horizontal="center" vertical="center"/>
    </xf>
    <xf numFmtId="0" fontId="88" fillId="91" borderId="5" xfId="0" applyFont="1" applyFill="1" applyBorder="1" applyAlignment="1">
      <alignment horizontal="center" vertical="center"/>
    </xf>
    <xf numFmtId="0" fontId="88" fillId="91" borderId="31" xfId="0" applyFont="1" applyFill="1" applyBorder="1" applyAlignment="1">
      <alignment horizontal="center" vertical="center"/>
    </xf>
    <xf numFmtId="0" fontId="88" fillId="92" borderId="42" xfId="0" applyFont="1" applyFill="1" applyBorder="1" applyAlignment="1">
      <alignment horizontal="center" vertical="center"/>
    </xf>
    <xf numFmtId="0" fontId="88" fillId="93" borderId="31" xfId="0" applyFont="1" applyFill="1" applyBorder="1" applyAlignment="1">
      <alignment horizontal="center" vertical="center"/>
    </xf>
    <xf numFmtId="0" fontId="88" fillId="93" borderId="42" xfId="0" applyFont="1" applyFill="1" applyBorder="1" applyAlignment="1">
      <alignment horizontal="center" vertical="center"/>
    </xf>
    <xf numFmtId="0" fontId="88" fillId="94" borderId="31" xfId="0" applyFont="1" applyFill="1" applyBorder="1" applyAlignment="1">
      <alignment horizontal="center" vertical="center"/>
    </xf>
    <xf numFmtId="0" fontId="88" fillId="94" borderId="42" xfId="0" applyFont="1" applyFill="1" applyBorder="1" applyAlignment="1">
      <alignment horizontal="center" vertical="center"/>
    </xf>
    <xf numFmtId="0" fontId="88" fillId="92" borderId="3" xfId="0" applyFont="1" applyFill="1" applyBorder="1" applyAlignment="1">
      <alignment horizontal="center" vertical="center"/>
    </xf>
    <xf numFmtId="0" fontId="88" fillId="92" borderId="5" xfId="0" applyFont="1" applyFill="1" applyBorder="1" applyAlignment="1">
      <alignment horizontal="center" vertical="center"/>
    </xf>
    <xf numFmtId="0" fontId="88" fillId="95" borderId="31" xfId="0" applyFont="1" applyFill="1" applyBorder="1" applyAlignment="1">
      <alignment horizontal="center" vertical="center"/>
    </xf>
    <xf numFmtId="0" fontId="88" fillId="95" borderId="42" xfId="0" applyFont="1" applyFill="1" applyBorder="1" applyAlignment="1">
      <alignment horizontal="center" vertical="center"/>
    </xf>
    <xf numFmtId="0" fontId="88" fillId="96" borderId="31" xfId="0" applyFont="1" applyFill="1" applyBorder="1" applyAlignment="1">
      <alignment horizontal="center" vertical="center"/>
    </xf>
    <xf numFmtId="0" fontId="88" fillId="96" borderId="42" xfId="0" applyFont="1" applyFill="1" applyBorder="1" applyAlignment="1">
      <alignment horizontal="center" vertical="center"/>
    </xf>
    <xf numFmtId="0" fontId="88" fillId="92" borderId="4" xfId="0" applyFont="1" applyFill="1" applyBorder="1" applyAlignment="1">
      <alignment horizontal="center" vertical="center"/>
    </xf>
    <xf numFmtId="0" fontId="88" fillId="97" borderId="31" xfId="0" applyFont="1" applyFill="1" applyBorder="1" applyAlignment="1">
      <alignment horizontal="center" vertical="center"/>
    </xf>
    <xf numFmtId="0" fontId="88" fillId="97" borderId="42" xfId="0" applyFont="1" applyFill="1" applyBorder="1" applyAlignment="1">
      <alignment horizontal="center" vertical="center"/>
    </xf>
    <xf numFmtId="0" fontId="88" fillId="98" borderId="43" xfId="0" applyFont="1" applyFill="1" applyBorder="1" applyAlignment="1">
      <alignment horizontal="center" vertical="center"/>
    </xf>
    <xf numFmtId="0" fontId="88" fillId="98" borderId="42" xfId="0" applyFont="1" applyFill="1" applyBorder="1" applyAlignment="1">
      <alignment horizontal="center" vertical="center"/>
    </xf>
    <xf numFmtId="0" fontId="88" fillId="99" borderId="31" xfId="0" applyFont="1" applyFill="1" applyBorder="1" applyAlignment="1">
      <alignment horizontal="center" vertical="center"/>
    </xf>
    <xf numFmtId="0" fontId="88" fillId="99" borderId="42" xfId="0" applyFont="1" applyFill="1" applyBorder="1" applyAlignment="1">
      <alignment horizontal="center" vertical="center"/>
    </xf>
    <xf numFmtId="0" fontId="88" fillId="92" borderId="8" xfId="0" applyFont="1" applyFill="1" applyBorder="1" applyAlignment="1">
      <alignment horizontal="center" vertical="center"/>
    </xf>
    <xf numFmtId="0" fontId="88" fillId="100" borderId="31" xfId="0" applyFont="1" applyFill="1" applyBorder="1" applyAlignment="1">
      <alignment horizontal="center" vertical="center"/>
    </xf>
    <xf numFmtId="0" fontId="88" fillId="100" borderId="42" xfId="0" applyFont="1" applyFill="1" applyBorder="1" applyAlignment="1">
      <alignment horizontal="center" vertical="center"/>
    </xf>
    <xf numFmtId="0" fontId="88" fillId="101" borderId="31" xfId="0" applyFont="1" applyFill="1" applyBorder="1" applyAlignment="1">
      <alignment horizontal="center" vertical="center"/>
    </xf>
    <xf numFmtId="0" fontId="88" fillId="101" borderId="42" xfId="0" applyFont="1" applyFill="1" applyBorder="1" applyAlignment="1">
      <alignment horizontal="center" vertical="center"/>
    </xf>
    <xf numFmtId="0" fontId="88" fillId="102" borderId="31" xfId="0" applyFont="1" applyFill="1" applyBorder="1" applyAlignment="1">
      <alignment horizontal="center" vertical="center"/>
    </xf>
    <xf numFmtId="0" fontId="88" fillId="102" borderId="42" xfId="0" applyFont="1" applyFill="1" applyBorder="1" applyAlignment="1">
      <alignment horizontal="center" vertical="center"/>
    </xf>
    <xf numFmtId="0" fontId="88" fillId="103" borderId="31" xfId="0" applyFont="1" applyFill="1" applyBorder="1" applyAlignment="1">
      <alignment horizontal="center" vertical="center"/>
    </xf>
    <xf numFmtId="0" fontId="88" fillId="103" borderId="42" xfId="0" applyFont="1" applyFill="1" applyBorder="1" applyAlignment="1">
      <alignment horizontal="center" vertical="center"/>
    </xf>
    <xf numFmtId="0" fontId="88" fillId="104" borderId="31" xfId="0" applyFont="1" applyFill="1" applyBorder="1" applyAlignment="1">
      <alignment horizontal="center" vertical="center"/>
    </xf>
    <xf numFmtId="0" fontId="88" fillId="104" borderId="20" xfId="0" applyFont="1" applyFill="1" applyBorder="1" applyAlignment="1">
      <alignment horizontal="center" vertical="center"/>
    </xf>
    <xf numFmtId="0" fontId="88" fillId="105" borderId="31" xfId="0" applyFont="1" applyFill="1" applyBorder="1" applyAlignment="1">
      <alignment horizontal="center" vertical="center"/>
    </xf>
    <xf numFmtId="0" fontId="88" fillId="105" borderId="20" xfId="0" applyFont="1" applyFill="1" applyBorder="1" applyAlignment="1">
      <alignment horizontal="center" vertical="center"/>
    </xf>
    <xf numFmtId="0" fontId="88" fillId="106" borderId="31" xfId="0" applyFont="1" applyFill="1" applyBorder="1" applyAlignment="1">
      <alignment horizontal="center" vertical="center"/>
    </xf>
    <xf numFmtId="0" fontId="88" fillId="106" borderId="42" xfId="0" applyFont="1" applyFill="1" applyBorder="1" applyAlignment="1">
      <alignment horizontal="center" vertical="center"/>
    </xf>
    <xf numFmtId="0" fontId="88" fillId="107" borderId="31" xfId="0" applyFont="1" applyFill="1" applyBorder="1" applyAlignment="1">
      <alignment horizontal="center" vertical="center"/>
    </xf>
    <xf numFmtId="0" fontId="88" fillId="107" borderId="42" xfId="0" applyFont="1" applyFill="1" applyBorder="1" applyAlignment="1">
      <alignment horizontal="center" vertical="center"/>
    </xf>
    <xf numFmtId="0" fontId="88" fillId="108" borderId="31" xfId="0" applyFont="1" applyFill="1" applyBorder="1" applyAlignment="1">
      <alignment horizontal="center" vertical="center"/>
    </xf>
    <xf numFmtId="0" fontId="88" fillId="108" borderId="42" xfId="0" applyFont="1" applyFill="1" applyBorder="1" applyAlignment="1">
      <alignment horizontal="center" vertical="center"/>
    </xf>
    <xf numFmtId="0" fontId="88" fillId="109" borderId="31" xfId="0" applyFont="1" applyFill="1" applyBorder="1" applyAlignment="1">
      <alignment horizontal="center" vertical="center"/>
    </xf>
    <xf numFmtId="0" fontId="88" fillId="109" borderId="42" xfId="0" applyFont="1" applyFill="1" applyBorder="1" applyAlignment="1">
      <alignment horizontal="center" vertical="center"/>
    </xf>
    <xf numFmtId="0" fontId="12" fillId="3" borderId="3" xfId="0" quotePrefix="1" applyFont="1" applyFill="1" applyBorder="1" applyAlignment="1">
      <alignment horizontal="center" vertical="center"/>
    </xf>
    <xf numFmtId="49" fontId="12" fillId="3" borderId="3" xfId="0" quotePrefix="1" applyNumberFormat="1" applyFont="1" applyFill="1" applyBorder="1" applyAlignment="1">
      <alignment horizontal="center" vertical="center"/>
    </xf>
    <xf numFmtId="0" fontId="88" fillId="91" borderId="44" xfId="0" applyFont="1" applyFill="1" applyBorder="1" applyAlignment="1">
      <alignment horizontal="center" vertical="center"/>
    </xf>
    <xf numFmtId="0" fontId="88" fillId="92" borderId="45" xfId="0" applyFont="1" applyFill="1" applyBorder="1" applyAlignment="1">
      <alignment horizontal="center" vertical="center"/>
    </xf>
    <xf numFmtId="0" fontId="88" fillId="93" borderId="44" xfId="0" applyFont="1" applyFill="1" applyBorder="1" applyAlignment="1">
      <alignment horizontal="center" vertical="center"/>
    </xf>
    <xf numFmtId="0" fontId="88" fillId="93" borderId="45" xfId="0" applyFont="1" applyFill="1" applyBorder="1" applyAlignment="1">
      <alignment horizontal="center" vertical="center"/>
    </xf>
    <xf numFmtId="0" fontId="88" fillId="94" borderId="44" xfId="0" applyFont="1" applyFill="1" applyBorder="1" applyAlignment="1">
      <alignment horizontal="center" vertical="center"/>
    </xf>
    <xf numFmtId="0" fontId="88" fillId="94" borderId="45" xfId="0" applyFont="1" applyFill="1" applyBorder="1" applyAlignment="1">
      <alignment horizontal="center" vertical="center"/>
    </xf>
    <xf numFmtId="0" fontId="88" fillId="95" borderId="44" xfId="0" applyFont="1" applyFill="1" applyBorder="1" applyAlignment="1">
      <alignment horizontal="center" vertical="center"/>
    </xf>
    <xf numFmtId="0" fontId="88" fillId="95" borderId="45" xfId="0" applyFont="1" applyFill="1" applyBorder="1" applyAlignment="1">
      <alignment horizontal="center" vertical="center"/>
    </xf>
    <xf numFmtId="0" fontId="88" fillId="96" borderId="44" xfId="0" applyFont="1" applyFill="1" applyBorder="1" applyAlignment="1">
      <alignment horizontal="center" vertical="center"/>
    </xf>
    <xf numFmtId="0" fontId="88" fillId="96" borderId="45" xfId="0" applyFont="1" applyFill="1" applyBorder="1" applyAlignment="1">
      <alignment horizontal="center" vertical="center"/>
    </xf>
    <xf numFmtId="0" fontId="88" fillId="97" borderId="44" xfId="0" applyFont="1" applyFill="1" applyBorder="1" applyAlignment="1">
      <alignment horizontal="center" vertical="center"/>
    </xf>
    <xf numFmtId="0" fontId="88" fillId="97" borderId="45" xfId="0" applyFont="1" applyFill="1" applyBorder="1" applyAlignment="1">
      <alignment horizontal="center" vertical="center"/>
    </xf>
    <xf numFmtId="0" fontId="88" fillId="98" borderId="0" xfId="0" applyFont="1" applyFill="1" applyAlignment="1">
      <alignment horizontal="center" vertical="center"/>
    </xf>
    <xf numFmtId="0" fontId="88" fillId="98" borderId="45" xfId="0" applyFont="1" applyFill="1" applyBorder="1" applyAlignment="1">
      <alignment horizontal="center" vertical="center"/>
    </xf>
    <xf numFmtId="0" fontId="88" fillId="99" borderId="45" xfId="0" applyFont="1" applyFill="1" applyBorder="1" applyAlignment="1">
      <alignment horizontal="center" vertical="center"/>
    </xf>
    <xf numFmtId="0" fontId="88" fillId="100" borderId="45" xfId="0" applyFont="1" applyFill="1" applyBorder="1" applyAlignment="1">
      <alignment horizontal="center" vertical="center"/>
    </xf>
    <xf numFmtId="0" fontId="88" fillId="101" borderId="44" xfId="0" applyFont="1" applyFill="1" applyBorder="1" applyAlignment="1">
      <alignment horizontal="center" vertical="center"/>
    </xf>
    <xf numFmtId="0" fontId="88" fillId="101" borderId="45" xfId="0" applyFont="1" applyFill="1" applyBorder="1" applyAlignment="1">
      <alignment horizontal="center" vertical="center"/>
    </xf>
    <xf numFmtId="0" fontId="88" fillId="102" borderId="44" xfId="0" applyFont="1" applyFill="1" applyBorder="1" applyAlignment="1">
      <alignment horizontal="center" vertical="center"/>
    </xf>
    <xf numFmtId="0" fontId="88" fillId="102" borderId="45" xfId="0" applyFont="1" applyFill="1" applyBorder="1" applyAlignment="1">
      <alignment horizontal="center" vertical="center"/>
    </xf>
    <xf numFmtId="0" fontId="88" fillId="103" borderId="44" xfId="0" applyFont="1" applyFill="1" applyBorder="1" applyAlignment="1">
      <alignment horizontal="center" vertical="center"/>
    </xf>
    <xf numFmtId="0" fontId="88" fillId="104" borderId="0" xfId="0" applyFont="1" applyFill="1" applyAlignment="1">
      <alignment horizontal="center" vertical="center"/>
    </xf>
    <xf numFmtId="0" fontId="88" fillId="105" borderId="44" xfId="0" applyFont="1" applyFill="1" applyBorder="1" applyAlignment="1">
      <alignment horizontal="center" vertical="center"/>
    </xf>
    <xf numFmtId="0" fontId="88" fillId="106" borderId="45" xfId="0" applyFont="1" applyFill="1" applyBorder="1" applyAlignment="1">
      <alignment horizontal="center" vertical="center"/>
    </xf>
    <xf numFmtId="0" fontId="88" fillId="107" borderId="44" xfId="0" applyFont="1" applyFill="1" applyBorder="1" applyAlignment="1">
      <alignment horizontal="center" vertical="center"/>
    </xf>
    <xf numFmtId="0" fontId="88" fillId="107" borderId="45" xfId="0" applyFont="1" applyFill="1" applyBorder="1" applyAlignment="1">
      <alignment horizontal="center" vertical="center"/>
    </xf>
    <xf numFmtId="0" fontId="88" fillId="108" borderId="44" xfId="0" applyFont="1" applyFill="1" applyBorder="1" applyAlignment="1">
      <alignment horizontal="center" vertical="center"/>
    </xf>
    <xf numFmtId="0" fontId="88" fillId="108" borderId="45" xfId="0" applyFont="1" applyFill="1" applyBorder="1" applyAlignment="1">
      <alignment horizontal="center" vertical="center"/>
    </xf>
    <xf numFmtId="0" fontId="88" fillId="109" borderId="44" xfId="0" applyFont="1" applyFill="1" applyBorder="1" applyAlignment="1">
      <alignment horizontal="center" vertical="center"/>
    </xf>
    <xf numFmtId="0" fontId="88" fillId="109" borderId="4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41" fontId="4" fillId="0" borderId="5" xfId="1" applyFont="1" applyBorder="1" applyAlignment="1">
      <alignment horizontal="center" vertical="center"/>
    </xf>
    <xf numFmtId="41" fontId="4" fillId="0" borderId="8" xfId="1" applyFont="1" applyBorder="1" applyAlignment="1">
      <alignment horizontal="center" vertical="center"/>
    </xf>
    <xf numFmtId="41" fontId="4" fillId="0" borderId="4" xfId="1" applyFont="1" applyBorder="1" applyAlignment="1">
      <alignment horizontal="center" vertical="center"/>
    </xf>
    <xf numFmtId="0" fontId="8" fillId="110" borderId="3" xfId="0" applyFont="1" applyFill="1" applyBorder="1" applyAlignment="1">
      <alignment horizontal="center" vertical="center" wrapText="1"/>
    </xf>
  </cellXfs>
  <cellStyles count="351">
    <cellStyle name="20% - 강조색1 2" xfId="96" xr:uid="{00000000-0005-0000-0000-000000000000}"/>
    <cellStyle name="20% - 강조색1 3" xfId="168" xr:uid="{00000000-0005-0000-0000-000001000000}"/>
    <cellStyle name="20% - 강조색1 4" xfId="169" xr:uid="{00000000-0005-0000-0000-000002000000}"/>
    <cellStyle name="20% - 강조색1 5" xfId="170" xr:uid="{00000000-0005-0000-0000-000003000000}"/>
    <cellStyle name="20% - 강조색2 2" xfId="97" xr:uid="{00000000-0005-0000-0000-000004000000}"/>
    <cellStyle name="20% - 강조색2 3" xfId="171" xr:uid="{00000000-0005-0000-0000-000005000000}"/>
    <cellStyle name="20% - 강조색2 4" xfId="172" xr:uid="{00000000-0005-0000-0000-000006000000}"/>
    <cellStyle name="20% - 강조색2 5" xfId="173" xr:uid="{00000000-0005-0000-0000-000007000000}"/>
    <cellStyle name="20% - 강조색3 2" xfId="98" xr:uid="{00000000-0005-0000-0000-000008000000}"/>
    <cellStyle name="20% - 강조색3 3" xfId="174" xr:uid="{00000000-0005-0000-0000-000009000000}"/>
    <cellStyle name="20% - 강조색3 4" xfId="175" xr:uid="{00000000-0005-0000-0000-00000A000000}"/>
    <cellStyle name="20% - 강조색3 5" xfId="176" xr:uid="{00000000-0005-0000-0000-00000B000000}"/>
    <cellStyle name="20% - 강조색4 2" xfId="99" xr:uid="{00000000-0005-0000-0000-00000C000000}"/>
    <cellStyle name="20% - 강조색4 3" xfId="177" xr:uid="{00000000-0005-0000-0000-00000D000000}"/>
    <cellStyle name="20% - 강조색4 4" xfId="178" xr:uid="{00000000-0005-0000-0000-00000E000000}"/>
    <cellStyle name="20% - 강조색4 5" xfId="179" xr:uid="{00000000-0005-0000-0000-00000F000000}"/>
    <cellStyle name="20% - 강조색5 2" xfId="100" xr:uid="{00000000-0005-0000-0000-000010000000}"/>
    <cellStyle name="20% - 강조색5 3" xfId="180" xr:uid="{00000000-0005-0000-0000-000011000000}"/>
    <cellStyle name="20% - 강조색5 4" xfId="181" xr:uid="{00000000-0005-0000-0000-000012000000}"/>
    <cellStyle name="20% - 강조색5 5" xfId="182" xr:uid="{00000000-0005-0000-0000-000013000000}"/>
    <cellStyle name="20% - 강조색6 2" xfId="101" xr:uid="{00000000-0005-0000-0000-000014000000}"/>
    <cellStyle name="20% - 강조색6 3" xfId="183" xr:uid="{00000000-0005-0000-0000-000015000000}"/>
    <cellStyle name="20% - 강조색6 4" xfId="184" xr:uid="{00000000-0005-0000-0000-000016000000}"/>
    <cellStyle name="20% - 강조색6 5" xfId="185" xr:uid="{00000000-0005-0000-0000-000017000000}"/>
    <cellStyle name="40% - 강조색1 2" xfId="102" xr:uid="{00000000-0005-0000-0000-000018000000}"/>
    <cellStyle name="40% - 강조색1 3" xfId="186" xr:uid="{00000000-0005-0000-0000-000019000000}"/>
    <cellStyle name="40% - 강조색1 4" xfId="187" xr:uid="{00000000-0005-0000-0000-00001A000000}"/>
    <cellStyle name="40% - 강조색1 5" xfId="188" xr:uid="{00000000-0005-0000-0000-00001B000000}"/>
    <cellStyle name="40% - 강조색2 2" xfId="103" xr:uid="{00000000-0005-0000-0000-00001C000000}"/>
    <cellStyle name="40% - 강조색2 3" xfId="189" xr:uid="{00000000-0005-0000-0000-00001D000000}"/>
    <cellStyle name="40% - 강조색2 4" xfId="190" xr:uid="{00000000-0005-0000-0000-00001E000000}"/>
    <cellStyle name="40% - 강조색2 5" xfId="191" xr:uid="{00000000-0005-0000-0000-00001F000000}"/>
    <cellStyle name="40% - 강조색3 2" xfId="104" xr:uid="{00000000-0005-0000-0000-000020000000}"/>
    <cellStyle name="40% - 강조색3 3" xfId="192" xr:uid="{00000000-0005-0000-0000-000021000000}"/>
    <cellStyle name="40% - 강조색3 4" xfId="193" xr:uid="{00000000-0005-0000-0000-000022000000}"/>
    <cellStyle name="40% - 강조색3 5" xfId="194" xr:uid="{00000000-0005-0000-0000-000023000000}"/>
    <cellStyle name="40% - 강조색4 2" xfId="105" xr:uid="{00000000-0005-0000-0000-000024000000}"/>
    <cellStyle name="40% - 강조색4 3" xfId="195" xr:uid="{00000000-0005-0000-0000-000025000000}"/>
    <cellStyle name="40% - 강조색4 4" xfId="196" xr:uid="{00000000-0005-0000-0000-000026000000}"/>
    <cellStyle name="40% - 강조색4 5" xfId="197" xr:uid="{00000000-0005-0000-0000-000027000000}"/>
    <cellStyle name="40% - 강조색5 2" xfId="106" xr:uid="{00000000-0005-0000-0000-000028000000}"/>
    <cellStyle name="40% - 강조색5 3" xfId="198" xr:uid="{00000000-0005-0000-0000-000029000000}"/>
    <cellStyle name="40% - 강조색5 4" xfId="199" xr:uid="{00000000-0005-0000-0000-00002A000000}"/>
    <cellStyle name="40% - 강조색5 5" xfId="200" xr:uid="{00000000-0005-0000-0000-00002B000000}"/>
    <cellStyle name="40% - 강조색6 2" xfId="107" xr:uid="{00000000-0005-0000-0000-00002C000000}"/>
    <cellStyle name="40% - 강조색6 3" xfId="201" xr:uid="{00000000-0005-0000-0000-00002D000000}"/>
    <cellStyle name="40% - 강조색6 4" xfId="202" xr:uid="{00000000-0005-0000-0000-00002E000000}"/>
    <cellStyle name="40% - 강조색6 5" xfId="203" xr:uid="{00000000-0005-0000-0000-00002F000000}"/>
    <cellStyle name="60% - 강조색1 2" xfId="108" xr:uid="{00000000-0005-0000-0000-000030000000}"/>
    <cellStyle name="60% - 강조색1 3" xfId="204" xr:uid="{00000000-0005-0000-0000-000031000000}"/>
    <cellStyle name="60% - 강조색1 4" xfId="205" xr:uid="{00000000-0005-0000-0000-000032000000}"/>
    <cellStyle name="60% - 강조색1 5" xfId="206" xr:uid="{00000000-0005-0000-0000-000033000000}"/>
    <cellStyle name="60% - 강조색2 2" xfId="109" xr:uid="{00000000-0005-0000-0000-000034000000}"/>
    <cellStyle name="60% - 강조색2 3" xfId="207" xr:uid="{00000000-0005-0000-0000-000035000000}"/>
    <cellStyle name="60% - 강조색2 4" xfId="208" xr:uid="{00000000-0005-0000-0000-000036000000}"/>
    <cellStyle name="60% - 강조색2 5" xfId="209" xr:uid="{00000000-0005-0000-0000-000037000000}"/>
    <cellStyle name="60% - 강조색3 2" xfId="110" xr:uid="{00000000-0005-0000-0000-000038000000}"/>
    <cellStyle name="60% - 강조색3 3" xfId="210" xr:uid="{00000000-0005-0000-0000-000039000000}"/>
    <cellStyle name="60% - 강조색3 4" xfId="211" xr:uid="{00000000-0005-0000-0000-00003A000000}"/>
    <cellStyle name="60% - 강조색3 5" xfId="212" xr:uid="{00000000-0005-0000-0000-00003B000000}"/>
    <cellStyle name="60% - 강조색4 2" xfId="111" xr:uid="{00000000-0005-0000-0000-00003C000000}"/>
    <cellStyle name="60% - 강조색4 3" xfId="213" xr:uid="{00000000-0005-0000-0000-00003D000000}"/>
    <cellStyle name="60% - 강조색4 4" xfId="214" xr:uid="{00000000-0005-0000-0000-00003E000000}"/>
    <cellStyle name="60% - 강조색4 5" xfId="215" xr:uid="{00000000-0005-0000-0000-00003F000000}"/>
    <cellStyle name="60% - 강조색5 2" xfId="112" xr:uid="{00000000-0005-0000-0000-000040000000}"/>
    <cellStyle name="60% - 강조색5 3" xfId="216" xr:uid="{00000000-0005-0000-0000-000041000000}"/>
    <cellStyle name="60% - 강조색5 4" xfId="217" xr:uid="{00000000-0005-0000-0000-000042000000}"/>
    <cellStyle name="60% - 강조색5 5" xfId="218" xr:uid="{00000000-0005-0000-0000-000043000000}"/>
    <cellStyle name="60% - 강조색6 2" xfId="113" xr:uid="{00000000-0005-0000-0000-000044000000}"/>
    <cellStyle name="60% - 강조색6 3" xfId="219" xr:uid="{00000000-0005-0000-0000-000045000000}"/>
    <cellStyle name="60% - 강조색6 4" xfId="220" xr:uid="{00000000-0005-0000-0000-000046000000}"/>
    <cellStyle name="60% - 강조색6 5" xfId="221" xr:uid="{00000000-0005-0000-0000-000047000000}"/>
    <cellStyle name="Accent1" xfId="9" xr:uid="{00000000-0005-0000-0000-000048000000}"/>
    <cellStyle name="Accent1 - 20%" xfId="10" xr:uid="{00000000-0005-0000-0000-000049000000}"/>
    <cellStyle name="Accent1 - 40%" xfId="11" xr:uid="{00000000-0005-0000-0000-00004A000000}"/>
    <cellStyle name="Accent1 - 60%" xfId="12" xr:uid="{00000000-0005-0000-0000-00004B000000}"/>
    <cellStyle name="Accent2" xfId="13" xr:uid="{00000000-0005-0000-0000-00004C000000}"/>
    <cellStyle name="Accent2 - 20%" xfId="14" xr:uid="{00000000-0005-0000-0000-00004D000000}"/>
    <cellStyle name="Accent2 - 40%" xfId="15" xr:uid="{00000000-0005-0000-0000-00004E000000}"/>
    <cellStyle name="Accent2 - 60%" xfId="16" xr:uid="{00000000-0005-0000-0000-00004F000000}"/>
    <cellStyle name="Accent3" xfId="17" xr:uid="{00000000-0005-0000-0000-000050000000}"/>
    <cellStyle name="Accent3 - 20%" xfId="18" xr:uid="{00000000-0005-0000-0000-000051000000}"/>
    <cellStyle name="Accent3 - 40%" xfId="19" xr:uid="{00000000-0005-0000-0000-000052000000}"/>
    <cellStyle name="Accent3 - 60%" xfId="20" xr:uid="{00000000-0005-0000-0000-000053000000}"/>
    <cellStyle name="Accent4" xfId="21" xr:uid="{00000000-0005-0000-0000-000054000000}"/>
    <cellStyle name="Accent4 - 20%" xfId="22" xr:uid="{00000000-0005-0000-0000-000055000000}"/>
    <cellStyle name="Accent4 - 40%" xfId="23" xr:uid="{00000000-0005-0000-0000-000056000000}"/>
    <cellStyle name="Accent4 - 60%" xfId="24" xr:uid="{00000000-0005-0000-0000-000057000000}"/>
    <cellStyle name="Accent5" xfId="25" xr:uid="{00000000-0005-0000-0000-000058000000}"/>
    <cellStyle name="Accent5 - 20%" xfId="26" xr:uid="{00000000-0005-0000-0000-000059000000}"/>
    <cellStyle name="Accent5 - 40%" xfId="27" xr:uid="{00000000-0005-0000-0000-00005A000000}"/>
    <cellStyle name="Accent5 - 60%" xfId="28" xr:uid="{00000000-0005-0000-0000-00005B000000}"/>
    <cellStyle name="Accent6" xfId="29" xr:uid="{00000000-0005-0000-0000-00005C000000}"/>
    <cellStyle name="Accent6 - 20%" xfId="30" xr:uid="{00000000-0005-0000-0000-00005D000000}"/>
    <cellStyle name="Accent6 - 40%" xfId="31" xr:uid="{00000000-0005-0000-0000-00005E000000}"/>
    <cellStyle name="Accent6 - 60%" xfId="32" xr:uid="{00000000-0005-0000-0000-00005F000000}"/>
    <cellStyle name="Bad" xfId="33" xr:uid="{00000000-0005-0000-0000-000060000000}"/>
    <cellStyle name="Calculation" xfId="34" xr:uid="{00000000-0005-0000-0000-000061000000}"/>
    <cellStyle name="Check Cell" xfId="35" xr:uid="{00000000-0005-0000-0000-000062000000}"/>
    <cellStyle name="Comma [0]_laroux" xfId="222" xr:uid="{00000000-0005-0000-0000-000063000000}"/>
    <cellStyle name="Comma_laroux" xfId="223" xr:uid="{00000000-0005-0000-0000-000064000000}"/>
    <cellStyle name="Currency [0]_laroux" xfId="224" xr:uid="{00000000-0005-0000-0000-000065000000}"/>
    <cellStyle name="Currency_laroux" xfId="225" xr:uid="{00000000-0005-0000-0000-000066000000}"/>
    <cellStyle name="Emphasis 1" xfId="36" xr:uid="{00000000-0005-0000-0000-000067000000}"/>
    <cellStyle name="Emphasis 2" xfId="37" xr:uid="{00000000-0005-0000-0000-000068000000}"/>
    <cellStyle name="Emphasis 3" xfId="38" xr:uid="{00000000-0005-0000-0000-000069000000}"/>
    <cellStyle name="Excel Built-in Normal" xfId="226" xr:uid="{00000000-0005-0000-0000-00006A000000}"/>
    <cellStyle name="Good" xfId="39" xr:uid="{00000000-0005-0000-0000-00006B000000}"/>
    <cellStyle name="Heading 1" xfId="40" xr:uid="{00000000-0005-0000-0000-00006C000000}"/>
    <cellStyle name="Heading 2" xfId="41" xr:uid="{00000000-0005-0000-0000-00006D000000}"/>
    <cellStyle name="Heading 3" xfId="42" xr:uid="{00000000-0005-0000-0000-00006E000000}"/>
    <cellStyle name="Heading 4" xfId="43" xr:uid="{00000000-0005-0000-0000-00006F000000}"/>
    <cellStyle name="Input" xfId="44" xr:uid="{00000000-0005-0000-0000-000070000000}"/>
    <cellStyle name="Linked Cell" xfId="45" xr:uid="{00000000-0005-0000-0000-000071000000}"/>
    <cellStyle name="Neutral" xfId="46" xr:uid="{00000000-0005-0000-0000-000072000000}"/>
    <cellStyle name="Normal_Certs Q2" xfId="227" xr:uid="{00000000-0005-0000-0000-000073000000}"/>
    <cellStyle name="Note" xfId="47" xr:uid="{00000000-0005-0000-0000-000074000000}"/>
    <cellStyle name="Output" xfId="48" xr:uid="{00000000-0005-0000-0000-000075000000}"/>
    <cellStyle name="SAPBEXaggData" xfId="49" xr:uid="{00000000-0005-0000-0000-000076000000}"/>
    <cellStyle name="SAPBEXaggData 2" xfId="228" xr:uid="{00000000-0005-0000-0000-000077000000}"/>
    <cellStyle name="SAPBEXaggDataEmph" xfId="50" xr:uid="{00000000-0005-0000-0000-000078000000}"/>
    <cellStyle name="SAPBEXaggDataEmph 2" xfId="229" xr:uid="{00000000-0005-0000-0000-000079000000}"/>
    <cellStyle name="SAPBEXaggItem" xfId="51" xr:uid="{00000000-0005-0000-0000-00007A000000}"/>
    <cellStyle name="SAPBEXaggItem 2" xfId="230" xr:uid="{00000000-0005-0000-0000-00007B000000}"/>
    <cellStyle name="SAPBEXaggItemX" xfId="52" xr:uid="{00000000-0005-0000-0000-00007C000000}"/>
    <cellStyle name="SAPBEXaggItemX 2" xfId="231" xr:uid="{00000000-0005-0000-0000-00007D000000}"/>
    <cellStyle name="SAPBEXchaText" xfId="53" xr:uid="{00000000-0005-0000-0000-00007E000000}"/>
    <cellStyle name="SAPBEXchaText 2" xfId="232" xr:uid="{00000000-0005-0000-0000-00007F000000}"/>
    <cellStyle name="SAPBEXexcBad7" xfId="54" xr:uid="{00000000-0005-0000-0000-000080000000}"/>
    <cellStyle name="SAPBEXexcBad7 2" xfId="233" xr:uid="{00000000-0005-0000-0000-000081000000}"/>
    <cellStyle name="SAPBEXexcBad8" xfId="55" xr:uid="{00000000-0005-0000-0000-000082000000}"/>
    <cellStyle name="SAPBEXexcBad8 2" xfId="234" xr:uid="{00000000-0005-0000-0000-000083000000}"/>
    <cellStyle name="SAPBEXexcBad9" xfId="56" xr:uid="{00000000-0005-0000-0000-000084000000}"/>
    <cellStyle name="SAPBEXexcBad9 2" xfId="235" xr:uid="{00000000-0005-0000-0000-000085000000}"/>
    <cellStyle name="SAPBEXexcCritical4" xfId="57" xr:uid="{00000000-0005-0000-0000-000086000000}"/>
    <cellStyle name="SAPBEXexcCritical4 2" xfId="236" xr:uid="{00000000-0005-0000-0000-000087000000}"/>
    <cellStyle name="SAPBEXexcCritical5" xfId="58" xr:uid="{00000000-0005-0000-0000-000088000000}"/>
    <cellStyle name="SAPBEXexcCritical5 2" xfId="237" xr:uid="{00000000-0005-0000-0000-000089000000}"/>
    <cellStyle name="SAPBEXexcCritical6" xfId="59" xr:uid="{00000000-0005-0000-0000-00008A000000}"/>
    <cellStyle name="SAPBEXexcCritical6 2" xfId="238" xr:uid="{00000000-0005-0000-0000-00008B000000}"/>
    <cellStyle name="SAPBEXexcGood1" xfId="60" xr:uid="{00000000-0005-0000-0000-00008C000000}"/>
    <cellStyle name="SAPBEXexcGood1 2" xfId="239" xr:uid="{00000000-0005-0000-0000-00008D000000}"/>
    <cellStyle name="SAPBEXexcGood2" xfId="61" xr:uid="{00000000-0005-0000-0000-00008E000000}"/>
    <cellStyle name="SAPBEXexcGood2 2" xfId="240" xr:uid="{00000000-0005-0000-0000-00008F000000}"/>
    <cellStyle name="SAPBEXexcGood3" xfId="62" xr:uid="{00000000-0005-0000-0000-000090000000}"/>
    <cellStyle name="SAPBEXexcGood3 2" xfId="241" xr:uid="{00000000-0005-0000-0000-000091000000}"/>
    <cellStyle name="SAPBEXfilterDrill" xfId="63" xr:uid="{00000000-0005-0000-0000-000092000000}"/>
    <cellStyle name="SAPBEXfilterDrill 2" xfId="242" xr:uid="{00000000-0005-0000-0000-000093000000}"/>
    <cellStyle name="SAPBEXfilterItem" xfId="64" xr:uid="{00000000-0005-0000-0000-000094000000}"/>
    <cellStyle name="SAPBEXfilterItem 2" xfId="243" xr:uid="{00000000-0005-0000-0000-000095000000}"/>
    <cellStyle name="SAPBEXfilterText" xfId="65" xr:uid="{00000000-0005-0000-0000-000096000000}"/>
    <cellStyle name="SAPBEXfilterText 2" xfId="244" xr:uid="{00000000-0005-0000-0000-000097000000}"/>
    <cellStyle name="SAPBEXformats" xfId="66" xr:uid="{00000000-0005-0000-0000-000098000000}"/>
    <cellStyle name="SAPBEXformats 2" xfId="245" xr:uid="{00000000-0005-0000-0000-000099000000}"/>
    <cellStyle name="SAPBEXheaderItem" xfId="67" xr:uid="{00000000-0005-0000-0000-00009A000000}"/>
    <cellStyle name="SAPBEXheaderItem 2" xfId="246" xr:uid="{00000000-0005-0000-0000-00009B000000}"/>
    <cellStyle name="SAPBEXheaderText" xfId="68" xr:uid="{00000000-0005-0000-0000-00009C000000}"/>
    <cellStyle name="SAPBEXheaderText 2" xfId="247" xr:uid="{00000000-0005-0000-0000-00009D000000}"/>
    <cellStyle name="SAPBEXHLevel0" xfId="69" xr:uid="{00000000-0005-0000-0000-00009E000000}"/>
    <cellStyle name="SAPBEXHLevel0 2" xfId="248" xr:uid="{00000000-0005-0000-0000-00009F000000}"/>
    <cellStyle name="SAPBEXHLevel0X" xfId="70" xr:uid="{00000000-0005-0000-0000-0000A0000000}"/>
    <cellStyle name="SAPBEXHLevel0X 2" xfId="249" xr:uid="{00000000-0005-0000-0000-0000A1000000}"/>
    <cellStyle name="SAPBEXHLevel1" xfId="71" xr:uid="{00000000-0005-0000-0000-0000A2000000}"/>
    <cellStyle name="SAPBEXHLevel1 2" xfId="250" xr:uid="{00000000-0005-0000-0000-0000A3000000}"/>
    <cellStyle name="SAPBEXHLevel1X" xfId="72" xr:uid="{00000000-0005-0000-0000-0000A4000000}"/>
    <cellStyle name="SAPBEXHLevel1X 2" xfId="251" xr:uid="{00000000-0005-0000-0000-0000A5000000}"/>
    <cellStyle name="SAPBEXHLevel2" xfId="73" xr:uid="{00000000-0005-0000-0000-0000A6000000}"/>
    <cellStyle name="SAPBEXHLevel2 2" xfId="252" xr:uid="{00000000-0005-0000-0000-0000A7000000}"/>
    <cellStyle name="SAPBEXHLevel2X" xfId="74" xr:uid="{00000000-0005-0000-0000-0000A8000000}"/>
    <cellStyle name="SAPBEXHLevel2X 2" xfId="253" xr:uid="{00000000-0005-0000-0000-0000A9000000}"/>
    <cellStyle name="SAPBEXHLevel3" xfId="75" xr:uid="{00000000-0005-0000-0000-0000AA000000}"/>
    <cellStyle name="SAPBEXHLevel3 2" xfId="254" xr:uid="{00000000-0005-0000-0000-0000AB000000}"/>
    <cellStyle name="SAPBEXHLevel3X" xfId="76" xr:uid="{00000000-0005-0000-0000-0000AC000000}"/>
    <cellStyle name="SAPBEXHLevel3X 2" xfId="255" xr:uid="{00000000-0005-0000-0000-0000AD000000}"/>
    <cellStyle name="SAPBEXinputData" xfId="77" xr:uid="{00000000-0005-0000-0000-0000AE000000}"/>
    <cellStyle name="SAPBEXinputData 2" xfId="256" xr:uid="{00000000-0005-0000-0000-0000AF000000}"/>
    <cellStyle name="SAPBEXinputData 3" xfId="257" xr:uid="{00000000-0005-0000-0000-0000B0000000}"/>
    <cellStyle name="SAPBEXresData" xfId="78" xr:uid="{00000000-0005-0000-0000-0000B1000000}"/>
    <cellStyle name="SAPBEXresData 2" xfId="258" xr:uid="{00000000-0005-0000-0000-0000B2000000}"/>
    <cellStyle name="SAPBEXresDataEmph" xfId="79" xr:uid="{00000000-0005-0000-0000-0000B3000000}"/>
    <cellStyle name="SAPBEXresDataEmph 2" xfId="259" xr:uid="{00000000-0005-0000-0000-0000B4000000}"/>
    <cellStyle name="SAPBEXresItem" xfId="80" xr:uid="{00000000-0005-0000-0000-0000B5000000}"/>
    <cellStyle name="SAPBEXresItem 2" xfId="260" xr:uid="{00000000-0005-0000-0000-0000B6000000}"/>
    <cellStyle name="SAPBEXresItemX" xfId="81" xr:uid="{00000000-0005-0000-0000-0000B7000000}"/>
    <cellStyle name="SAPBEXresItemX 2" xfId="261" xr:uid="{00000000-0005-0000-0000-0000B8000000}"/>
    <cellStyle name="SAPBEXstdData" xfId="82" xr:uid="{00000000-0005-0000-0000-0000B9000000}"/>
    <cellStyle name="SAPBEXstdData 2" xfId="262" xr:uid="{00000000-0005-0000-0000-0000BA000000}"/>
    <cellStyle name="SAPBEXstdDataEmph" xfId="83" xr:uid="{00000000-0005-0000-0000-0000BB000000}"/>
    <cellStyle name="SAPBEXstdDataEmph 2" xfId="263" xr:uid="{00000000-0005-0000-0000-0000BC000000}"/>
    <cellStyle name="SAPBEXstdItem" xfId="84" xr:uid="{00000000-0005-0000-0000-0000BD000000}"/>
    <cellStyle name="SAPBEXstdItem 2" xfId="264" xr:uid="{00000000-0005-0000-0000-0000BE000000}"/>
    <cellStyle name="SAPBEXstdItemX" xfId="85" xr:uid="{00000000-0005-0000-0000-0000BF000000}"/>
    <cellStyle name="SAPBEXstdItemX 2" xfId="265" xr:uid="{00000000-0005-0000-0000-0000C0000000}"/>
    <cellStyle name="SAPBEXtitle" xfId="86" xr:uid="{00000000-0005-0000-0000-0000C1000000}"/>
    <cellStyle name="SAPBEXtitle 2" xfId="266" xr:uid="{00000000-0005-0000-0000-0000C2000000}"/>
    <cellStyle name="SAPBEXundefined" xfId="87" xr:uid="{00000000-0005-0000-0000-0000C3000000}"/>
    <cellStyle name="SAPBEXundefined 2" xfId="267" xr:uid="{00000000-0005-0000-0000-0000C4000000}"/>
    <cellStyle name="Sheet Title" xfId="88" xr:uid="{00000000-0005-0000-0000-0000C5000000}"/>
    <cellStyle name="Total" xfId="89" xr:uid="{00000000-0005-0000-0000-0000C6000000}"/>
    <cellStyle name="Warning Text" xfId="90" xr:uid="{00000000-0005-0000-0000-0000C7000000}"/>
    <cellStyle name="강조색1 2" xfId="114" xr:uid="{00000000-0005-0000-0000-0000C8000000}"/>
    <cellStyle name="강조색1 3" xfId="268" xr:uid="{00000000-0005-0000-0000-0000C9000000}"/>
    <cellStyle name="강조색1 4" xfId="269" xr:uid="{00000000-0005-0000-0000-0000CA000000}"/>
    <cellStyle name="강조색1 5" xfId="270" xr:uid="{00000000-0005-0000-0000-0000CB000000}"/>
    <cellStyle name="강조색2 2" xfId="115" xr:uid="{00000000-0005-0000-0000-0000CC000000}"/>
    <cellStyle name="강조색2 3" xfId="271" xr:uid="{00000000-0005-0000-0000-0000CD000000}"/>
    <cellStyle name="강조색2 4" xfId="272" xr:uid="{00000000-0005-0000-0000-0000CE000000}"/>
    <cellStyle name="강조색2 5" xfId="273" xr:uid="{00000000-0005-0000-0000-0000CF000000}"/>
    <cellStyle name="강조색3 2" xfId="116" xr:uid="{00000000-0005-0000-0000-0000D0000000}"/>
    <cellStyle name="강조색3 3" xfId="274" xr:uid="{00000000-0005-0000-0000-0000D1000000}"/>
    <cellStyle name="강조색3 4" xfId="275" xr:uid="{00000000-0005-0000-0000-0000D2000000}"/>
    <cellStyle name="강조색3 5" xfId="276" xr:uid="{00000000-0005-0000-0000-0000D3000000}"/>
    <cellStyle name="강조색4 2" xfId="117" xr:uid="{00000000-0005-0000-0000-0000D4000000}"/>
    <cellStyle name="강조색4 3" xfId="277" xr:uid="{00000000-0005-0000-0000-0000D5000000}"/>
    <cellStyle name="강조색4 4" xfId="278" xr:uid="{00000000-0005-0000-0000-0000D6000000}"/>
    <cellStyle name="강조색4 5" xfId="279" xr:uid="{00000000-0005-0000-0000-0000D7000000}"/>
    <cellStyle name="강조색5 2" xfId="118" xr:uid="{00000000-0005-0000-0000-0000D8000000}"/>
    <cellStyle name="강조색5 3" xfId="280" xr:uid="{00000000-0005-0000-0000-0000D9000000}"/>
    <cellStyle name="강조색5 4" xfId="281" xr:uid="{00000000-0005-0000-0000-0000DA000000}"/>
    <cellStyle name="강조색5 5" xfId="282" xr:uid="{00000000-0005-0000-0000-0000DB000000}"/>
    <cellStyle name="강조색6 2" xfId="119" xr:uid="{00000000-0005-0000-0000-0000DC000000}"/>
    <cellStyle name="강조색6 3" xfId="283" xr:uid="{00000000-0005-0000-0000-0000DD000000}"/>
    <cellStyle name="강조색6 4" xfId="284" xr:uid="{00000000-0005-0000-0000-0000DE000000}"/>
    <cellStyle name="강조색6 5" xfId="285" xr:uid="{00000000-0005-0000-0000-0000DF000000}"/>
    <cellStyle name="경고문 2" xfId="120" xr:uid="{00000000-0005-0000-0000-0000E0000000}"/>
    <cellStyle name="경고문 3" xfId="286" xr:uid="{00000000-0005-0000-0000-0000E1000000}"/>
    <cellStyle name="경고문 4" xfId="287" xr:uid="{00000000-0005-0000-0000-0000E2000000}"/>
    <cellStyle name="경고문 5" xfId="288" xr:uid="{00000000-0005-0000-0000-0000E3000000}"/>
    <cellStyle name="계산 2" xfId="121" xr:uid="{00000000-0005-0000-0000-0000E4000000}"/>
    <cellStyle name="계산 3" xfId="289" xr:uid="{00000000-0005-0000-0000-0000E5000000}"/>
    <cellStyle name="계산 4" xfId="290" xr:uid="{00000000-0005-0000-0000-0000E6000000}"/>
    <cellStyle name="계산 5" xfId="291" xr:uid="{00000000-0005-0000-0000-0000E7000000}"/>
    <cellStyle name="나쁨 2" xfId="122" xr:uid="{00000000-0005-0000-0000-0000E8000000}"/>
    <cellStyle name="나쁨 3" xfId="292" xr:uid="{00000000-0005-0000-0000-0000E9000000}"/>
    <cellStyle name="나쁨 4" xfId="293" xr:uid="{00000000-0005-0000-0000-0000EA000000}"/>
    <cellStyle name="나쁨 5" xfId="294" xr:uid="{00000000-0005-0000-0000-0000EB000000}"/>
    <cellStyle name="메모 2" xfId="123" xr:uid="{00000000-0005-0000-0000-0000EC000000}"/>
    <cellStyle name="메모 2 2" xfId="349" xr:uid="{00000000-0005-0000-0000-0000ED000000}"/>
    <cellStyle name="메모 3" xfId="295" xr:uid="{00000000-0005-0000-0000-0000EE000000}"/>
    <cellStyle name="메모 4" xfId="296" xr:uid="{00000000-0005-0000-0000-0000EF000000}"/>
    <cellStyle name="메모 5" xfId="297" xr:uid="{00000000-0005-0000-0000-0000F0000000}"/>
    <cellStyle name="보통 2" xfId="124" xr:uid="{00000000-0005-0000-0000-0000F1000000}"/>
    <cellStyle name="보통 3" xfId="298" xr:uid="{00000000-0005-0000-0000-0000F2000000}"/>
    <cellStyle name="보통 4" xfId="299" xr:uid="{00000000-0005-0000-0000-0000F3000000}"/>
    <cellStyle name="보통 5" xfId="300" xr:uid="{00000000-0005-0000-0000-0000F4000000}"/>
    <cellStyle name="설명 텍스트 2" xfId="125" xr:uid="{00000000-0005-0000-0000-0000F5000000}"/>
    <cellStyle name="설명 텍스트 3" xfId="301" xr:uid="{00000000-0005-0000-0000-0000F6000000}"/>
    <cellStyle name="설명 텍스트 4" xfId="302" xr:uid="{00000000-0005-0000-0000-0000F7000000}"/>
    <cellStyle name="설명 텍스트 5" xfId="303" xr:uid="{00000000-0005-0000-0000-0000F8000000}"/>
    <cellStyle name="셀 확인 2" xfId="126" xr:uid="{00000000-0005-0000-0000-0000F9000000}"/>
    <cellStyle name="셀 확인 3" xfId="304" xr:uid="{00000000-0005-0000-0000-0000FA000000}"/>
    <cellStyle name="셀 확인 4" xfId="305" xr:uid="{00000000-0005-0000-0000-0000FB000000}"/>
    <cellStyle name="셀 확인 5" xfId="306" xr:uid="{00000000-0005-0000-0000-0000FC000000}"/>
    <cellStyle name="쉼표 [0]" xfId="1" builtinId="6"/>
    <cellStyle name="쉼표 [0] 2" xfId="91" xr:uid="{00000000-0005-0000-0000-0000FE000000}"/>
    <cellStyle name="쉼표 [0] 2 2" xfId="128" xr:uid="{00000000-0005-0000-0000-0000FF000000}"/>
    <cellStyle name="쉼표 [0] 2 3" xfId="127" xr:uid="{00000000-0005-0000-0000-000000010000}"/>
    <cellStyle name="쉼표 [0] 3" xfId="129" xr:uid="{00000000-0005-0000-0000-000001010000}"/>
    <cellStyle name="쉼표 [0] 4" xfId="130" xr:uid="{00000000-0005-0000-0000-000002010000}"/>
    <cellStyle name="쉼표 [0] 5" xfId="131" xr:uid="{00000000-0005-0000-0000-000003010000}"/>
    <cellStyle name="쉼표 [0] 6" xfId="132" xr:uid="{00000000-0005-0000-0000-000004010000}"/>
    <cellStyle name="쉼표 [0] 7" xfId="162" xr:uid="{00000000-0005-0000-0000-000005010000}"/>
    <cellStyle name="연결된 셀 2" xfId="133" xr:uid="{00000000-0005-0000-0000-000006010000}"/>
    <cellStyle name="연결된 셀 3" xfId="307" xr:uid="{00000000-0005-0000-0000-000007010000}"/>
    <cellStyle name="연결된 셀 4" xfId="308" xr:uid="{00000000-0005-0000-0000-000008010000}"/>
    <cellStyle name="연결된 셀 5" xfId="309" xr:uid="{00000000-0005-0000-0000-000009010000}"/>
    <cellStyle name="요약 2" xfId="134" xr:uid="{00000000-0005-0000-0000-00000A010000}"/>
    <cellStyle name="요약 3" xfId="310" xr:uid="{00000000-0005-0000-0000-00000B010000}"/>
    <cellStyle name="요약 4" xfId="311" xr:uid="{00000000-0005-0000-0000-00000C010000}"/>
    <cellStyle name="요약 5" xfId="312" xr:uid="{00000000-0005-0000-0000-00000D010000}"/>
    <cellStyle name="입력 2" xfId="135" xr:uid="{00000000-0005-0000-0000-00000E010000}"/>
    <cellStyle name="입력 3" xfId="313" xr:uid="{00000000-0005-0000-0000-00000F010000}"/>
    <cellStyle name="입력 4" xfId="314" xr:uid="{00000000-0005-0000-0000-000010010000}"/>
    <cellStyle name="입력 5" xfId="315" xr:uid="{00000000-0005-0000-0000-000011010000}"/>
    <cellStyle name="제목 1 2" xfId="136" xr:uid="{00000000-0005-0000-0000-000012010000}"/>
    <cellStyle name="제목 1 3" xfId="316" xr:uid="{00000000-0005-0000-0000-000013010000}"/>
    <cellStyle name="제목 1 4" xfId="317" xr:uid="{00000000-0005-0000-0000-000014010000}"/>
    <cellStyle name="제목 1 5" xfId="318" xr:uid="{00000000-0005-0000-0000-000015010000}"/>
    <cellStyle name="제목 2 2" xfId="137" xr:uid="{00000000-0005-0000-0000-000016010000}"/>
    <cellStyle name="제목 2 3" xfId="319" xr:uid="{00000000-0005-0000-0000-000017010000}"/>
    <cellStyle name="제목 2 4" xfId="320" xr:uid="{00000000-0005-0000-0000-000018010000}"/>
    <cellStyle name="제목 2 5" xfId="321" xr:uid="{00000000-0005-0000-0000-000019010000}"/>
    <cellStyle name="제목 3 2" xfId="138" xr:uid="{00000000-0005-0000-0000-00001A010000}"/>
    <cellStyle name="제목 3 3" xfId="322" xr:uid="{00000000-0005-0000-0000-00001B010000}"/>
    <cellStyle name="제목 3 4" xfId="323" xr:uid="{00000000-0005-0000-0000-00001C010000}"/>
    <cellStyle name="제목 3 5" xfId="324" xr:uid="{00000000-0005-0000-0000-00001D010000}"/>
    <cellStyle name="제목 4 2" xfId="139" xr:uid="{00000000-0005-0000-0000-00001E010000}"/>
    <cellStyle name="제목 4 3" xfId="325" xr:uid="{00000000-0005-0000-0000-00001F010000}"/>
    <cellStyle name="제목 4 4" xfId="326" xr:uid="{00000000-0005-0000-0000-000020010000}"/>
    <cellStyle name="제목 4 5" xfId="327" xr:uid="{00000000-0005-0000-0000-000021010000}"/>
    <cellStyle name="제목 5" xfId="140" xr:uid="{00000000-0005-0000-0000-000022010000}"/>
    <cellStyle name="제목 6" xfId="328" xr:uid="{00000000-0005-0000-0000-000023010000}"/>
    <cellStyle name="제목 7" xfId="329" xr:uid="{00000000-0005-0000-0000-000024010000}"/>
    <cellStyle name="제목 8" xfId="330" xr:uid="{00000000-0005-0000-0000-000025010000}"/>
    <cellStyle name="좋음 2" xfId="141" xr:uid="{00000000-0005-0000-0000-000026010000}"/>
    <cellStyle name="좋음 3" xfId="331" xr:uid="{00000000-0005-0000-0000-000027010000}"/>
    <cellStyle name="좋음 4" xfId="332" xr:uid="{00000000-0005-0000-0000-000028010000}"/>
    <cellStyle name="좋음 5" xfId="333" xr:uid="{00000000-0005-0000-0000-000029010000}"/>
    <cellStyle name="출력 2" xfId="142" xr:uid="{00000000-0005-0000-0000-00002A010000}"/>
    <cellStyle name="출력 3" xfId="334" xr:uid="{00000000-0005-0000-0000-00002B010000}"/>
    <cellStyle name="출력 4" xfId="335" xr:uid="{00000000-0005-0000-0000-00002C010000}"/>
    <cellStyle name="출력 5" xfId="336" xr:uid="{00000000-0005-0000-0000-00002D010000}"/>
    <cellStyle name="콤마 [0]_승진품의2000년" xfId="337" xr:uid="{00000000-0005-0000-0000-00002E010000}"/>
    <cellStyle name="콤마_승진품의2000년" xfId="338" xr:uid="{00000000-0005-0000-0000-00002F010000}"/>
    <cellStyle name="표준" xfId="0" builtinId="0"/>
    <cellStyle name="표준 11" xfId="339" xr:uid="{00000000-0005-0000-0000-000031010000}"/>
    <cellStyle name="표준 12" xfId="340" xr:uid="{00000000-0005-0000-0000-000032010000}"/>
    <cellStyle name="표준 13" xfId="341" xr:uid="{00000000-0005-0000-0000-000033010000}"/>
    <cellStyle name="표준 2" xfId="2" xr:uid="{00000000-0005-0000-0000-000034010000}"/>
    <cellStyle name="표준 2 2" xfId="7" xr:uid="{00000000-0005-0000-0000-000035010000}"/>
    <cellStyle name="표준 2 2 2" xfId="144" xr:uid="{00000000-0005-0000-0000-000036010000}"/>
    <cellStyle name="표준 2 2 3" xfId="145" xr:uid="{00000000-0005-0000-0000-000037010000}"/>
    <cellStyle name="표준 2 2 4" xfId="165" xr:uid="{00000000-0005-0000-0000-000038010000}"/>
    <cellStyle name="표준 2 2 5" xfId="143" xr:uid="{00000000-0005-0000-0000-000039010000}"/>
    <cellStyle name="표준 2 2 6" xfId="348" xr:uid="{00000000-0005-0000-0000-00003A010000}"/>
    <cellStyle name="표준 20 2 2 2 3" xfId="5" xr:uid="{00000000-0005-0000-0000-00003B010000}"/>
    <cellStyle name="표준 20 2 2 2 3 2" xfId="147" xr:uid="{00000000-0005-0000-0000-00003C010000}"/>
    <cellStyle name="표준 20 2 2 2 3 3" xfId="148" xr:uid="{00000000-0005-0000-0000-00003D010000}"/>
    <cellStyle name="표준 20 2 2 2 3 4" xfId="163" xr:uid="{00000000-0005-0000-0000-00003E010000}"/>
    <cellStyle name="표준 20 2 2 2 3 5" xfId="146" xr:uid="{00000000-0005-0000-0000-00003F010000}"/>
    <cellStyle name="표준 203" xfId="342" xr:uid="{00000000-0005-0000-0000-000040010000}"/>
    <cellStyle name="표준 25" xfId="6" xr:uid="{00000000-0005-0000-0000-000041010000}"/>
    <cellStyle name="표준 25 2" xfId="150" xr:uid="{00000000-0005-0000-0000-000042010000}"/>
    <cellStyle name="표준 25 3" xfId="151" xr:uid="{00000000-0005-0000-0000-000043010000}"/>
    <cellStyle name="표준 25 4" xfId="164" xr:uid="{00000000-0005-0000-0000-000044010000}"/>
    <cellStyle name="표준 25 5" xfId="149" xr:uid="{00000000-0005-0000-0000-000045010000}"/>
    <cellStyle name="표준 3" xfId="3" xr:uid="{00000000-0005-0000-0000-000046010000}"/>
    <cellStyle name="표준 3 2" xfId="8" xr:uid="{00000000-0005-0000-0000-000047010000}"/>
    <cellStyle name="표준 3 2 2" xfId="154" xr:uid="{00000000-0005-0000-0000-000048010000}"/>
    <cellStyle name="표준 3 2 3" xfId="153" xr:uid="{00000000-0005-0000-0000-000049010000}"/>
    <cellStyle name="표준 3 3" xfId="152" xr:uid="{00000000-0005-0000-0000-00004A010000}"/>
    <cellStyle name="표준 4" xfId="92" xr:uid="{00000000-0005-0000-0000-00004B010000}"/>
    <cellStyle name="표준 4 2" xfId="4" xr:uid="{00000000-0005-0000-0000-00004C010000}"/>
    <cellStyle name="표준 4 2 2" xfId="344" xr:uid="{00000000-0005-0000-0000-00004D010000}"/>
    <cellStyle name="표준 4 3" xfId="155" xr:uid="{00000000-0005-0000-0000-00004E010000}"/>
    <cellStyle name="표준 4 3 2" xfId="347" xr:uid="{00000000-0005-0000-0000-00004F010000}"/>
    <cellStyle name="표준 4 4" xfId="166" xr:uid="{00000000-0005-0000-0000-000050010000}"/>
    <cellStyle name="표준 5" xfId="93" xr:uid="{00000000-0005-0000-0000-000051010000}"/>
    <cellStyle name="표준 5 2" xfId="157" xr:uid="{00000000-0005-0000-0000-000052010000}"/>
    <cellStyle name="표준 5 3" xfId="167" xr:uid="{00000000-0005-0000-0000-000053010000}"/>
    <cellStyle name="표준 5 4" xfId="156" xr:uid="{00000000-0005-0000-0000-000054010000}"/>
    <cellStyle name="표준 5 5" xfId="345" xr:uid="{00000000-0005-0000-0000-000055010000}"/>
    <cellStyle name="표준 6" xfId="94" xr:uid="{00000000-0005-0000-0000-000056010000}"/>
    <cellStyle name="표준 6 2" xfId="159" xr:uid="{00000000-0005-0000-0000-000057010000}"/>
    <cellStyle name="표준 6 3" xfId="158" xr:uid="{00000000-0005-0000-0000-000058010000}"/>
    <cellStyle name="표준 6 4" xfId="346" xr:uid="{00000000-0005-0000-0000-000059010000}"/>
    <cellStyle name="표준 7" xfId="160" xr:uid="{00000000-0005-0000-0000-00005A010000}"/>
    <cellStyle name="표준 7 2" xfId="350" xr:uid="{00000000-0005-0000-0000-00005B010000}"/>
    <cellStyle name="표준 8" xfId="161" xr:uid="{00000000-0005-0000-0000-00005C010000}"/>
    <cellStyle name="표준 9" xfId="95" xr:uid="{00000000-0005-0000-0000-00005D010000}"/>
    <cellStyle name="하이퍼링크 2" xfId="343" xr:uid="{00000000-0005-0000-0000-00005E010000}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75"/>
  <sheetViews>
    <sheetView tabSelected="1" zoomScaleNormal="100" zoomScaleSheetLayoutView="90" workbookViewId="0">
      <pane ySplit="4" topLeftCell="A66" activePane="bottomLeft" state="frozen"/>
      <selection pane="bottomLeft" activeCell="D73" sqref="D73"/>
    </sheetView>
  </sheetViews>
  <sheetFormatPr defaultRowHeight="16.5"/>
  <cols>
    <col min="1" max="1" width="4.125" customWidth="1"/>
    <col min="2" max="2" width="8.375" hidden="1" customWidth="1"/>
    <col min="3" max="3" width="12.625" hidden="1" customWidth="1"/>
    <col min="4" max="4" width="8.125" style="9" bestFit="1" customWidth="1"/>
    <col min="5" max="5" width="17.75" customWidth="1"/>
    <col min="6" max="6" width="13.75" hidden="1" customWidth="1"/>
    <col min="7" max="7" width="8.125" style="9" hidden="1" customWidth="1"/>
    <col min="8" max="8" width="9.625" customWidth="1"/>
    <col min="9" max="10" width="8.375" style="26" customWidth="1"/>
    <col min="11" max="11" width="9.25" customWidth="1"/>
    <col min="12" max="12" width="13.875" bestFit="1" customWidth="1"/>
    <col min="13" max="13" width="12.625" customWidth="1"/>
    <col min="14" max="14" width="6.25" bestFit="1" customWidth="1"/>
    <col min="15" max="15" width="16.625" style="42" customWidth="1"/>
    <col min="16" max="16" width="25.25" style="2" customWidth="1"/>
    <col min="19" max="19" width="11.5" bestFit="1" customWidth="1"/>
  </cols>
  <sheetData>
    <row r="1" spans="1:17" ht="27" customHeight="1">
      <c r="A1" s="1" t="s">
        <v>420</v>
      </c>
      <c r="B1" s="1"/>
      <c r="C1" s="1"/>
      <c r="K1" s="41" t="s">
        <v>417</v>
      </c>
      <c r="M1" s="41"/>
      <c r="O1" s="41"/>
      <c r="P1" s="41"/>
    </row>
    <row r="2" spans="1:17" ht="16.5" customHeight="1" thickBot="1">
      <c r="A2" s="3" t="s">
        <v>421</v>
      </c>
      <c r="B2" s="3"/>
      <c r="C2" s="3"/>
      <c r="P2" s="59"/>
    </row>
    <row r="3" spans="1:17" ht="17.100000000000001" customHeight="1" thickBot="1">
      <c r="I3" s="140" t="s">
        <v>414</v>
      </c>
      <c r="J3" s="140"/>
      <c r="K3" s="136" t="s">
        <v>206</v>
      </c>
      <c r="L3" s="138" t="s">
        <v>410</v>
      </c>
      <c r="M3" s="139"/>
    </row>
    <row r="4" spans="1:17" s="7" customFormat="1" ht="21" customHeight="1">
      <c r="A4" s="11" t="s">
        <v>0</v>
      </c>
      <c r="B4" s="4" t="s">
        <v>412</v>
      </c>
      <c r="C4" s="4" t="s">
        <v>413</v>
      </c>
      <c r="D4" s="23" t="s">
        <v>1</v>
      </c>
      <c r="E4" s="4" t="s">
        <v>2</v>
      </c>
      <c r="F4" s="11" t="s">
        <v>409</v>
      </c>
      <c r="G4" s="23"/>
      <c r="H4" s="11" t="s">
        <v>416</v>
      </c>
      <c r="I4" s="25" t="s">
        <v>415</v>
      </c>
      <c r="J4" s="25" t="s">
        <v>399</v>
      </c>
      <c r="K4" s="137"/>
      <c r="L4" s="22" t="s">
        <v>411</v>
      </c>
      <c r="M4" s="24" t="s">
        <v>408</v>
      </c>
      <c r="N4" s="5" t="s">
        <v>3</v>
      </c>
      <c r="O4" s="43" t="s">
        <v>4</v>
      </c>
      <c r="P4" s="6" t="s">
        <v>5</v>
      </c>
    </row>
    <row r="5" spans="1:17" s="7" customFormat="1" ht="24" customHeight="1">
      <c r="A5" s="29">
        <f>ROW()-4</f>
        <v>1</v>
      </c>
      <c r="B5" s="30" t="s">
        <v>679</v>
      </c>
      <c r="C5" s="30" t="s">
        <v>680</v>
      </c>
      <c r="D5" s="62" t="s">
        <v>422</v>
      </c>
      <c r="E5" s="31" t="s">
        <v>529</v>
      </c>
      <c r="F5" s="61" t="s">
        <v>530</v>
      </c>
      <c r="G5" s="62"/>
      <c r="H5" s="31"/>
      <c r="I5" s="32"/>
      <c r="J5" s="32"/>
      <c r="K5" s="32">
        <f>SUM(I5*2)+(J5*2)</f>
        <v>0</v>
      </c>
      <c r="L5" s="35"/>
      <c r="M5" s="36"/>
      <c r="N5" s="30"/>
      <c r="O5" s="47"/>
      <c r="P5" s="39" t="s">
        <v>418</v>
      </c>
      <c r="Q5" s="8" t="str">
        <f>CONCATENATE(N5,IF(O5&lt;&gt;"","은행 "&amp;O5,""))</f>
        <v/>
      </c>
    </row>
    <row r="6" spans="1:17" s="7" customFormat="1" ht="24" customHeight="1">
      <c r="A6" s="29">
        <f t="shared" ref="A6:A114" si="0">ROW()-4</f>
        <v>2</v>
      </c>
      <c r="B6" s="30" t="s">
        <v>681</v>
      </c>
      <c r="C6" s="30" t="s">
        <v>682</v>
      </c>
      <c r="D6" s="62" t="s">
        <v>423</v>
      </c>
      <c r="E6" s="31" t="s">
        <v>531</v>
      </c>
      <c r="F6" s="61" t="s">
        <v>532</v>
      </c>
      <c r="G6" s="62"/>
      <c r="H6" s="31"/>
      <c r="I6" s="32"/>
      <c r="J6" s="32"/>
      <c r="K6" s="32">
        <f t="shared" ref="K6:K98" si="1">SUM(I6*2)+(J6*2)</f>
        <v>0</v>
      </c>
      <c r="L6" s="35"/>
      <c r="M6" s="36"/>
      <c r="N6" s="30"/>
      <c r="O6" s="44"/>
      <c r="P6" s="39" t="s">
        <v>418</v>
      </c>
      <c r="Q6" s="8" t="str">
        <f t="shared" ref="Q6:Q97" si="2">CONCATENATE(N6,IF(O6&lt;&gt;"","은행 "&amp;O6,""))</f>
        <v/>
      </c>
    </row>
    <row r="7" spans="1:17" s="7" customFormat="1" ht="24" customHeight="1">
      <c r="A7" s="29">
        <f t="shared" si="0"/>
        <v>3</v>
      </c>
      <c r="B7" s="30" t="s">
        <v>683</v>
      </c>
      <c r="C7" s="30" t="s">
        <v>684</v>
      </c>
      <c r="D7" s="62" t="s">
        <v>424</v>
      </c>
      <c r="E7" s="31" t="s">
        <v>533</v>
      </c>
      <c r="F7" s="61" t="s">
        <v>534</v>
      </c>
      <c r="G7" s="62"/>
      <c r="H7" s="31"/>
      <c r="I7" s="32"/>
      <c r="J7" s="32"/>
      <c r="K7" s="32">
        <f t="shared" si="1"/>
        <v>0</v>
      </c>
      <c r="L7" s="35"/>
      <c r="M7" s="36"/>
      <c r="N7" s="30"/>
      <c r="O7" s="44"/>
      <c r="P7" s="39" t="s">
        <v>418</v>
      </c>
      <c r="Q7" s="8" t="str">
        <f t="shared" si="2"/>
        <v/>
      </c>
    </row>
    <row r="8" spans="1:17" s="7" customFormat="1" ht="24" customHeight="1">
      <c r="A8" s="29">
        <f t="shared" si="0"/>
        <v>4</v>
      </c>
      <c r="B8" s="30" t="s">
        <v>685</v>
      </c>
      <c r="C8" s="30" t="s">
        <v>686</v>
      </c>
      <c r="D8" s="62" t="s">
        <v>425</v>
      </c>
      <c r="E8" s="31" t="s">
        <v>535</v>
      </c>
      <c r="F8" s="61" t="s">
        <v>536</v>
      </c>
      <c r="G8" s="62">
        <v>1</v>
      </c>
      <c r="H8" s="31" t="s">
        <v>838</v>
      </c>
      <c r="I8" s="32"/>
      <c r="J8" s="32">
        <v>4188</v>
      </c>
      <c r="K8" s="32">
        <f t="shared" si="1"/>
        <v>8376</v>
      </c>
      <c r="L8" s="35">
        <f>60000</f>
        <v>60000</v>
      </c>
      <c r="M8" s="36">
        <f>K8</f>
        <v>8376</v>
      </c>
      <c r="N8" s="30" t="s">
        <v>842</v>
      </c>
      <c r="O8" s="44" t="s">
        <v>843</v>
      </c>
      <c r="P8" s="39" t="s">
        <v>844</v>
      </c>
      <c r="Q8" s="8" t="str">
        <f t="shared" si="2"/>
        <v>국민은행 082210729367</v>
      </c>
    </row>
    <row r="9" spans="1:17" s="7" customFormat="1" ht="24" customHeight="1">
      <c r="A9" s="29">
        <f t="shared" si="0"/>
        <v>5</v>
      </c>
      <c r="B9" s="30" t="s">
        <v>683</v>
      </c>
      <c r="C9" s="30" t="s">
        <v>684</v>
      </c>
      <c r="D9" s="62" t="s">
        <v>426</v>
      </c>
      <c r="E9" s="31" t="s">
        <v>533</v>
      </c>
      <c r="F9" s="61">
        <v>1042195715</v>
      </c>
      <c r="G9" s="62"/>
      <c r="H9" s="31"/>
      <c r="I9" s="32"/>
      <c r="J9" s="32"/>
      <c r="K9" s="32">
        <f t="shared" si="1"/>
        <v>0</v>
      </c>
      <c r="L9" s="35"/>
      <c r="M9" s="36"/>
      <c r="N9" s="37"/>
      <c r="O9" s="57"/>
      <c r="P9" s="39" t="s">
        <v>419</v>
      </c>
      <c r="Q9" s="8" t="str">
        <f t="shared" si="2"/>
        <v/>
      </c>
    </row>
    <row r="10" spans="1:17" s="7" customFormat="1" ht="24" customHeight="1" thickBot="1">
      <c r="A10" s="29">
        <f t="shared" si="0"/>
        <v>6</v>
      </c>
      <c r="B10" s="30" t="s">
        <v>687</v>
      </c>
      <c r="C10" s="30" t="s">
        <v>688</v>
      </c>
      <c r="D10" s="63" t="s">
        <v>427</v>
      </c>
      <c r="E10" s="31" t="s">
        <v>537</v>
      </c>
      <c r="F10" s="61" t="s">
        <v>538</v>
      </c>
      <c r="G10" s="62">
        <v>1</v>
      </c>
      <c r="H10" s="31" t="s">
        <v>849</v>
      </c>
      <c r="I10" s="32"/>
      <c r="J10" s="32"/>
      <c r="K10" s="32">
        <f t="shared" si="1"/>
        <v>0</v>
      </c>
      <c r="L10" s="35">
        <f>18500+17500+3000</f>
        <v>39000</v>
      </c>
      <c r="M10" s="36">
        <f>L10</f>
        <v>39000</v>
      </c>
      <c r="N10" s="37" t="s">
        <v>850</v>
      </c>
      <c r="O10" s="45" t="s">
        <v>853</v>
      </c>
      <c r="P10" s="39" t="s">
        <v>872</v>
      </c>
      <c r="Q10" s="8" t="str">
        <f t="shared" si="2"/>
        <v>신한은행 110028603512</v>
      </c>
    </row>
    <row r="11" spans="1:17" s="7" customFormat="1" ht="24" customHeight="1">
      <c r="A11" s="29">
        <f t="shared" si="0"/>
        <v>7</v>
      </c>
      <c r="B11" s="30" t="s">
        <v>689</v>
      </c>
      <c r="C11" s="30" t="s">
        <v>690</v>
      </c>
      <c r="D11" s="64" t="s">
        <v>428</v>
      </c>
      <c r="E11" s="31" t="s">
        <v>539</v>
      </c>
      <c r="F11" s="61">
        <v>1086291180</v>
      </c>
      <c r="G11" s="106"/>
      <c r="H11" s="31" t="s">
        <v>836</v>
      </c>
      <c r="I11" s="32"/>
      <c r="J11" s="32"/>
      <c r="K11" s="32">
        <f t="shared" si="1"/>
        <v>0</v>
      </c>
      <c r="L11" s="35"/>
      <c r="M11" s="36"/>
      <c r="N11" s="37"/>
      <c r="O11" s="45"/>
      <c r="P11" s="39" t="s">
        <v>419</v>
      </c>
      <c r="Q11" s="8" t="str">
        <f t="shared" si="2"/>
        <v/>
      </c>
    </row>
    <row r="12" spans="1:17" s="7" customFormat="1" ht="24" customHeight="1" thickBot="1">
      <c r="A12" s="48">
        <f t="shared" si="0"/>
        <v>8</v>
      </c>
      <c r="B12" s="55" t="s">
        <v>691</v>
      </c>
      <c r="C12" s="55" t="s">
        <v>692</v>
      </c>
      <c r="D12" s="65" t="s">
        <v>429</v>
      </c>
      <c r="E12" s="50" t="s">
        <v>540</v>
      </c>
      <c r="F12" s="60">
        <v>1028534656</v>
      </c>
      <c r="G12" s="107"/>
      <c r="H12" s="31" t="s">
        <v>836</v>
      </c>
      <c r="I12" s="33"/>
      <c r="J12" s="33"/>
      <c r="K12" s="33">
        <f t="shared" si="1"/>
        <v>0</v>
      </c>
      <c r="L12" s="51"/>
      <c r="M12" s="52"/>
      <c r="N12" s="104"/>
      <c r="O12" s="105"/>
      <c r="P12" s="49"/>
      <c r="Q12" s="8" t="str">
        <f>CONCATENATE(N12,IF(O12&lt;&gt;"","은행 "&amp;O12,""))</f>
        <v/>
      </c>
    </row>
    <row r="13" spans="1:17" s="7" customFormat="1" ht="24" customHeight="1" thickBot="1">
      <c r="A13" s="29">
        <f t="shared" si="0"/>
        <v>9</v>
      </c>
      <c r="B13" s="30" t="s">
        <v>693</v>
      </c>
      <c r="C13" s="30" t="s">
        <v>694</v>
      </c>
      <c r="D13" s="62" t="s">
        <v>430</v>
      </c>
      <c r="E13" s="31" t="s">
        <v>541</v>
      </c>
      <c r="F13" s="61">
        <v>1032830708</v>
      </c>
      <c r="G13" s="62">
        <v>1</v>
      </c>
      <c r="H13" s="31" t="s">
        <v>849</v>
      </c>
      <c r="I13" s="32"/>
      <c r="J13" s="32"/>
      <c r="K13" s="32">
        <f t="shared" si="1"/>
        <v>0</v>
      </c>
      <c r="L13" s="35">
        <f>8600+8100</f>
        <v>16700</v>
      </c>
      <c r="M13" s="36">
        <f>L13</f>
        <v>16700</v>
      </c>
      <c r="N13" s="37" t="s">
        <v>854</v>
      </c>
      <c r="O13" s="45" t="s">
        <v>855</v>
      </c>
      <c r="P13" s="39" t="s">
        <v>835</v>
      </c>
      <c r="Q13" s="8" t="str">
        <f t="shared" si="2"/>
        <v>하나은행 57681016733907</v>
      </c>
    </row>
    <row r="14" spans="1:17" s="7" customFormat="1" ht="24" customHeight="1">
      <c r="A14" s="48">
        <f t="shared" si="0"/>
        <v>10</v>
      </c>
      <c r="B14" s="49" t="s">
        <v>695</v>
      </c>
      <c r="C14" s="49" t="s">
        <v>696</v>
      </c>
      <c r="D14" s="66" t="s">
        <v>15</v>
      </c>
      <c r="E14" s="50" t="s">
        <v>542</v>
      </c>
      <c r="F14" s="60">
        <v>1032070605</v>
      </c>
      <c r="G14" s="108"/>
      <c r="H14" s="50"/>
      <c r="I14" s="33"/>
      <c r="J14" s="33"/>
      <c r="K14" s="33">
        <f t="shared" si="1"/>
        <v>0</v>
      </c>
      <c r="L14" s="51"/>
      <c r="M14" s="52"/>
      <c r="N14" s="53"/>
      <c r="O14" s="54"/>
      <c r="P14" s="50"/>
      <c r="Q14" s="8" t="str">
        <f t="shared" si="2"/>
        <v/>
      </c>
    </row>
    <row r="15" spans="1:17" s="7" customFormat="1" ht="24" customHeight="1" thickBot="1">
      <c r="A15" s="48">
        <f t="shared" si="0"/>
        <v>11</v>
      </c>
      <c r="B15" s="49" t="s">
        <v>695</v>
      </c>
      <c r="C15" s="49" t="s">
        <v>696</v>
      </c>
      <c r="D15" s="67" t="s">
        <v>431</v>
      </c>
      <c r="E15" s="50" t="s">
        <v>543</v>
      </c>
      <c r="F15" s="60">
        <v>1062388217</v>
      </c>
      <c r="G15" s="109"/>
      <c r="H15" s="50"/>
      <c r="I15" s="33"/>
      <c r="J15" s="33"/>
      <c r="K15" s="33">
        <f t="shared" si="1"/>
        <v>0</v>
      </c>
      <c r="L15" s="51"/>
      <c r="M15" s="52"/>
      <c r="N15" s="53"/>
      <c r="O15" s="54"/>
      <c r="P15" s="50"/>
      <c r="Q15" s="8" t="str">
        <f t="shared" si="2"/>
        <v/>
      </c>
    </row>
    <row r="16" spans="1:17" s="7" customFormat="1" ht="24" customHeight="1">
      <c r="A16" s="48">
        <f t="shared" si="0"/>
        <v>12</v>
      </c>
      <c r="B16" s="49" t="s">
        <v>697</v>
      </c>
      <c r="C16" s="49" t="s">
        <v>698</v>
      </c>
      <c r="D16" s="68" t="s">
        <v>432</v>
      </c>
      <c r="E16" s="50" t="s">
        <v>544</v>
      </c>
      <c r="F16" s="60" t="s">
        <v>545</v>
      </c>
      <c r="G16" s="110"/>
      <c r="H16" s="50"/>
      <c r="I16" s="33"/>
      <c r="J16" s="33"/>
      <c r="K16" s="33">
        <f t="shared" si="1"/>
        <v>0</v>
      </c>
      <c r="L16" s="51"/>
      <c r="M16" s="52"/>
      <c r="N16" s="53"/>
      <c r="O16" s="54"/>
      <c r="P16" s="50"/>
      <c r="Q16" s="8" t="str">
        <f t="shared" si="2"/>
        <v/>
      </c>
    </row>
    <row r="17" spans="1:17" s="7" customFormat="1" ht="24" customHeight="1" thickBot="1">
      <c r="A17" s="48">
        <f t="shared" si="0"/>
        <v>13</v>
      </c>
      <c r="B17" s="49" t="s">
        <v>699</v>
      </c>
      <c r="C17" s="49" t="s">
        <v>700</v>
      </c>
      <c r="D17" s="69" t="s">
        <v>433</v>
      </c>
      <c r="E17" s="50" t="s">
        <v>546</v>
      </c>
      <c r="F17" s="60" t="s">
        <v>547</v>
      </c>
      <c r="G17" s="111"/>
      <c r="H17" s="50"/>
      <c r="I17" s="33"/>
      <c r="J17" s="33"/>
      <c r="K17" s="33">
        <f t="shared" si="1"/>
        <v>0</v>
      </c>
      <c r="L17" s="51"/>
      <c r="M17" s="52"/>
      <c r="N17" s="53"/>
      <c r="O17" s="54"/>
      <c r="P17" s="50"/>
      <c r="Q17" s="8" t="str">
        <f t="shared" si="2"/>
        <v/>
      </c>
    </row>
    <row r="18" spans="1:17" s="7" customFormat="1" ht="24" customHeight="1">
      <c r="A18" s="48">
        <f t="shared" si="0"/>
        <v>14</v>
      </c>
      <c r="B18" s="49" t="s">
        <v>701</v>
      </c>
      <c r="C18" s="49" t="s">
        <v>702</v>
      </c>
      <c r="D18" s="70" t="s">
        <v>434</v>
      </c>
      <c r="E18" s="50" t="s">
        <v>548</v>
      </c>
      <c r="F18" s="60" t="s">
        <v>549</v>
      </c>
      <c r="G18" s="70"/>
      <c r="H18" s="50"/>
      <c r="I18" s="33"/>
      <c r="J18" s="33"/>
      <c r="K18" s="33">
        <f t="shared" si="1"/>
        <v>0</v>
      </c>
      <c r="L18" s="51"/>
      <c r="M18" s="52"/>
      <c r="N18" s="53"/>
      <c r="O18" s="54"/>
      <c r="P18" s="50"/>
      <c r="Q18" s="8" t="str">
        <f t="shared" si="2"/>
        <v/>
      </c>
    </row>
    <row r="19" spans="1:17" s="7" customFormat="1" ht="24" customHeight="1">
      <c r="A19" s="48">
        <f t="shared" si="0"/>
        <v>15</v>
      </c>
      <c r="B19" s="49" t="s">
        <v>703</v>
      </c>
      <c r="C19" s="49" t="s">
        <v>704</v>
      </c>
      <c r="D19" s="70" t="s">
        <v>435</v>
      </c>
      <c r="E19" s="50" t="s">
        <v>550</v>
      </c>
      <c r="F19" s="60" t="s">
        <v>551</v>
      </c>
      <c r="G19" s="70"/>
      <c r="H19" s="50"/>
      <c r="I19" s="33"/>
      <c r="J19" s="33"/>
      <c r="K19" s="33">
        <f t="shared" si="1"/>
        <v>0</v>
      </c>
      <c r="L19" s="51"/>
      <c r="M19" s="52"/>
      <c r="N19" s="53"/>
      <c r="O19" s="54"/>
      <c r="P19" s="50"/>
      <c r="Q19" s="8" t="str">
        <f t="shared" si="2"/>
        <v/>
      </c>
    </row>
    <row r="20" spans="1:17" s="7" customFormat="1" ht="24" customHeight="1">
      <c r="A20" s="48">
        <f t="shared" si="0"/>
        <v>16</v>
      </c>
      <c r="B20" s="49" t="s">
        <v>705</v>
      </c>
      <c r="C20" s="49" t="s">
        <v>706</v>
      </c>
      <c r="D20" s="70" t="s">
        <v>436</v>
      </c>
      <c r="E20" s="50" t="s">
        <v>552</v>
      </c>
      <c r="F20" s="60" t="s">
        <v>553</v>
      </c>
      <c r="G20" s="62">
        <v>1</v>
      </c>
      <c r="H20" s="50" t="s">
        <v>849</v>
      </c>
      <c r="I20" s="33"/>
      <c r="J20" s="33"/>
      <c r="K20" s="33">
        <f t="shared" si="1"/>
        <v>0</v>
      </c>
      <c r="L20" s="51">
        <f>14300+16200</f>
        <v>30500</v>
      </c>
      <c r="M20" s="52">
        <f>L20</f>
        <v>30500</v>
      </c>
      <c r="N20" s="53" t="s">
        <v>842</v>
      </c>
      <c r="O20" s="54" t="s">
        <v>878</v>
      </c>
      <c r="P20" s="50"/>
      <c r="Q20" s="8" t="str">
        <f t="shared" si="2"/>
        <v>국민은행 82130100081443</v>
      </c>
    </row>
    <row r="21" spans="1:17" s="7" customFormat="1" ht="24" customHeight="1">
      <c r="A21" s="48">
        <f t="shared" si="0"/>
        <v>17</v>
      </c>
      <c r="B21" s="49" t="s">
        <v>707</v>
      </c>
      <c r="C21" s="49" t="s">
        <v>708</v>
      </c>
      <c r="D21" s="70" t="s">
        <v>437</v>
      </c>
      <c r="E21" s="50" t="s">
        <v>554</v>
      </c>
      <c r="F21" s="60">
        <v>1030737621</v>
      </c>
      <c r="G21" s="62">
        <v>1</v>
      </c>
      <c r="H21" s="50" t="s">
        <v>849</v>
      </c>
      <c r="I21" s="33"/>
      <c r="J21" s="33"/>
      <c r="K21" s="33">
        <f t="shared" si="1"/>
        <v>0</v>
      </c>
      <c r="L21" s="51">
        <f>8700+8200+46800+47100</f>
        <v>110800</v>
      </c>
      <c r="M21" s="52">
        <f>L21</f>
        <v>110800</v>
      </c>
      <c r="N21" s="53" t="s">
        <v>876</v>
      </c>
      <c r="O21" s="54" t="s">
        <v>877</v>
      </c>
      <c r="P21" s="50"/>
      <c r="Q21" s="8" t="str">
        <f t="shared" si="2"/>
        <v>광주은행 003122018416</v>
      </c>
    </row>
    <row r="22" spans="1:17" s="7" customFormat="1" ht="24" customHeight="1">
      <c r="A22" s="48">
        <f t="shared" si="0"/>
        <v>18</v>
      </c>
      <c r="B22" s="49" t="s">
        <v>709</v>
      </c>
      <c r="C22" s="49" t="s">
        <v>710</v>
      </c>
      <c r="D22" s="70" t="s">
        <v>438</v>
      </c>
      <c r="E22" s="50" t="s">
        <v>555</v>
      </c>
      <c r="F22" s="60" t="s">
        <v>556</v>
      </c>
      <c r="G22" s="70"/>
      <c r="H22" s="50"/>
      <c r="I22" s="33"/>
      <c r="J22" s="33"/>
      <c r="K22" s="33">
        <f t="shared" si="1"/>
        <v>0</v>
      </c>
      <c r="L22" s="51"/>
      <c r="M22" s="52"/>
      <c r="N22" s="53"/>
      <c r="O22" s="54"/>
      <c r="P22" s="50"/>
      <c r="Q22" s="8" t="str">
        <f t="shared" si="2"/>
        <v/>
      </c>
    </row>
    <row r="23" spans="1:17" s="7" customFormat="1" ht="24" customHeight="1" thickBot="1">
      <c r="A23" s="48">
        <f t="shared" si="0"/>
        <v>19</v>
      </c>
      <c r="B23" s="49" t="s">
        <v>711</v>
      </c>
      <c r="C23" s="49" t="s">
        <v>712</v>
      </c>
      <c r="D23" s="71" t="s">
        <v>439</v>
      </c>
      <c r="E23" s="50" t="s">
        <v>557</v>
      </c>
      <c r="F23" s="60" t="s">
        <v>558</v>
      </c>
      <c r="G23" s="71"/>
      <c r="H23" s="50"/>
      <c r="I23" s="33"/>
      <c r="J23" s="33"/>
      <c r="K23" s="33">
        <f t="shared" si="1"/>
        <v>0</v>
      </c>
      <c r="L23" s="51"/>
      <c r="M23" s="52"/>
      <c r="N23" s="53"/>
      <c r="O23" s="54"/>
      <c r="P23" s="50"/>
      <c r="Q23" s="8" t="str">
        <f t="shared" si="2"/>
        <v/>
      </c>
    </row>
    <row r="24" spans="1:17" s="7" customFormat="1" ht="24" customHeight="1">
      <c r="A24" s="48">
        <f t="shared" si="0"/>
        <v>20</v>
      </c>
      <c r="B24" s="49" t="s">
        <v>713</v>
      </c>
      <c r="C24" s="49" t="s">
        <v>714</v>
      </c>
      <c r="D24" s="72" t="s">
        <v>440</v>
      </c>
      <c r="E24" s="50" t="s">
        <v>559</v>
      </c>
      <c r="F24" s="60">
        <v>1025192000</v>
      </c>
      <c r="G24" s="112">
        <v>1</v>
      </c>
      <c r="H24" s="50" t="s">
        <v>849</v>
      </c>
      <c r="I24" s="33"/>
      <c r="J24" s="33"/>
      <c r="K24" s="33">
        <f t="shared" si="1"/>
        <v>0</v>
      </c>
      <c r="L24" s="51">
        <f>11900</f>
        <v>11900</v>
      </c>
      <c r="M24" s="52">
        <f>L24</f>
        <v>11900</v>
      </c>
      <c r="N24" s="53" t="s">
        <v>886</v>
      </c>
      <c r="O24" s="54" t="s">
        <v>887</v>
      </c>
      <c r="P24" s="50"/>
      <c r="Q24" s="8"/>
    </row>
    <row r="25" spans="1:17" s="7" customFormat="1" ht="24" customHeight="1" thickBot="1">
      <c r="A25" s="48">
        <f t="shared" si="0"/>
        <v>21</v>
      </c>
      <c r="B25" s="49" t="s">
        <v>713</v>
      </c>
      <c r="C25" s="49" t="s">
        <v>714</v>
      </c>
      <c r="D25" s="73" t="s">
        <v>441</v>
      </c>
      <c r="E25" s="50" t="s">
        <v>559</v>
      </c>
      <c r="F25" s="60">
        <v>1063515294</v>
      </c>
      <c r="G25" s="113">
        <v>1</v>
      </c>
      <c r="H25" s="50"/>
      <c r="I25" s="33"/>
      <c r="J25" s="33"/>
      <c r="K25" s="33">
        <f t="shared" si="1"/>
        <v>0</v>
      </c>
      <c r="L25" s="51"/>
      <c r="M25" s="52"/>
      <c r="N25" s="53"/>
      <c r="O25" s="54"/>
      <c r="P25" s="50"/>
      <c r="Q25" s="8"/>
    </row>
    <row r="26" spans="1:17" s="7" customFormat="1" ht="24" customHeight="1" thickBot="1">
      <c r="A26" s="48">
        <f t="shared" si="0"/>
        <v>22</v>
      </c>
      <c r="B26" s="49" t="s">
        <v>833</v>
      </c>
      <c r="C26" s="49" t="s">
        <v>834</v>
      </c>
      <c r="D26" s="83" t="s">
        <v>528</v>
      </c>
      <c r="E26" s="50" t="s">
        <v>845</v>
      </c>
      <c r="F26" s="60">
        <v>1034337597</v>
      </c>
      <c r="G26" s="62">
        <v>1</v>
      </c>
      <c r="H26" s="50" t="s">
        <v>849</v>
      </c>
      <c r="I26" s="33"/>
      <c r="J26" s="33"/>
      <c r="K26" s="33">
        <f>SUM(I26*2)+(J26*2)</f>
        <v>0</v>
      </c>
      <c r="L26" s="51">
        <f>21000</f>
        <v>21000</v>
      </c>
      <c r="M26" s="52">
        <v>21000</v>
      </c>
      <c r="N26" s="53" t="s">
        <v>846</v>
      </c>
      <c r="O26" s="54" t="s">
        <v>847</v>
      </c>
      <c r="P26" s="50" t="s">
        <v>848</v>
      </c>
      <c r="Q26" s="8" t="str">
        <f>CONCATENATE(N26,IF(O26&lt;&gt;"","은행 "&amp;O26,""))</f>
        <v>우리은행 1002244056730</v>
      </c>
    </row>
    <row r="27" spans="1:17" s="7" customFormat="1" ht="24" customHeight="1">
      <c r="A27" s="48">
        <f t="shared" si="0"/>
        <v>23</v>
      </c>
      <c r="B27" s="49" t="s">
        <v>715</v>
      </c>
      <c r="C27" s="49" t="s">
        <v>716</v>
      </c>
      <c r="D27" s="74" t="s">
        <v>442</v>
      </c>
      <c r="E27" s="50" t="s">
        <v>560</v>
      </c>
      <c r="F27" s="60" t="s">
        <v>561</v>
      </c>
      <c r="G27" s="114"/>
      <c r="H27" s="50" t="s">
        <v>849</v>
      </c>
      <c r="I27" s="33"/>
      <c r="J27" s="33"/>
      <c r="K27" s="33">
        <f t="shared" si="1"/>
        <v>0</v>
      </c>
      <c r="L27" s="51">
        <f>21200</f>
        <v>21200</v>
      </c>
      <c r="M27" s="52"/>
      <c r="N27" s="53" t="s">
        <v>914</v>
      </c>
      <c r="O27" s="54" t="s">
        <v>918</v>
      </c>
      <c r="P27" s="144" t="s">
        <v>919</v>
      </c>
      <c r="Q27" s="8"/>
    </row>
    <row r="28" spans="1:17" s="7" customFormat="1" ht="24" customHeight="1" thickBot="1">
      <c r="A28" s="48">
        <f t="shared" si="0"/>
        <v>24</v>
      </c>
      <c r="B28" s="49" t="s">
        <v>715</v>
      </c>
      <c r="C28" s="49" t="s">
        <v>716</v>
      </c>
      <c r="D28" s="75" t="s">
        <v>443</v>
      </c>
      <c r="E28" s="50" t="s">
        <v>562</v>
      </c>
      <c r="F28" s="60" t="s">
        <v>547</v>
      </c>
      <c r="G28" s="115">
        <v>1</v>
      </c>
      <c r="H28" s="50"/>
      <c r="I28" s="33"/>
      <c r="J28" s="33"/>
      <c r="K28" s="33">
        <f t="shared" si="1"/>
        <v>0</v>
      </c>
      <c r="L28" s="51"/>
      <c r="M28" s="52"/>
      <c r="N28" s="53"/>
      <c r="O28" s="54"/>
      <c r="P28" s="50"/>
      <c r="Q28" s="8"/>
    </row>
    <row r="29" spans="1:17" s="7" customFormat="1" ht="24" customHeight="1">
      <c r="A29" s="48">
        <f t="shared" si="0"/>
        <v>25</v>
      </c>
      <c r="B29" s="49" t="s">
        <v>717</v>
      </c>
      <c r="C29" s="49" t="s">
        <v>718</v>
      </c>
      <c r="D29" s="76" t="s">
        <v>444</v>
      </c>
      <c r="E29" s="50" t="s">
        <v>563</v>
      </c>
      <c r="F29" s="60" t="s">
        <v>564</v>
      </c>
      <c r="G29" s="76"/>
      <c r="H29" s="50"/>
      <c r="I29" s="33"/>
      <c r="J29" s="33"/>
      <c r="K29" s="33">
        <f t="shared" si="1"/>
        <v>0</v>
      </c>
      <c r="L29" s="51"/>
      <c r="M29" s="52"/>
      <c r="N29" s="53"/>
      <c r="O29" s="54"/>
      <c r="P29" s="50" t="s">
        <v>858</v>
      </c>
      <c r="Q29" s="8"/>
    </row>
    <row r="30" spans="1:17" s="7" customFormat="1" ht="24" customHeight="1">
      <c r="A30" s="48">
        <f t="shared" si="0"/>
        <v>26</v>
      </c>
      <c r="B30" s="49" t="s">
        <v>719</v>
      </c>
      <c r="C30" s="49" t="s">
        <v>720</v>
      </c>
      <c r="D30" s="70" t="s">
        <v>445</v>
      </c>
      <c r="E30" s="50" t="s">
        <v>565</v>
      </c>
      <c r="F30" s="60">
        <v>1082568275</v>
      </c>
      <c r="G30" s="62">
        <v>1</v>
      </c>
      <c r="H30" s="50" t="s">
        <v>838</v>
      </c>
      <c r="I30" s="33">
        <v>5600</v>
      </c>
      <c r="J30" s="33">
        <v>19164</v>
      </c>
      <c r="K30" s="33">
        <f t="shared" si="1"/>
        <v>49528</v>
      </c>
      <c r="L30" s="51">
        <f>100000+1600+4100+800+3900</f>
        <v>110400</v>
      </c>
      <c r="M30" s="52">
        <f>K30</f>
        <v>49528</v>
      </c>
      <c r="N30" s="53" t="s">
        <v>839</v>
      </c>
      <c r="O30" s="54" t="s">
        <v>840</v>
      </c>
      <c r="P30" s="50" t="s">
        <v>841</v>
      </c>
      <c r="Q30" s="8"/>
    </row>
    <row r="31" spans="1:17" s="7" customFormat="1" ht="24" customHeight="1">
      <c r="A31" s="48">
        <f t="shared" si="0"/>
        <v>27</v>
      </c>
      <c r="B31" s="49" t="s">
        <v>721</v>
      </c>
      <c r="C31" s="49" t="s">
        <v>722</v>
      </c>
      <c r="D31" s="70" t="s">
        <v>446</v>
      </c>
      <c r="E31" s="50" t="s">
        <v>566</v>
      </c>
      <c r="F31" s="60" t="s">
        <v>567</v>
      </c>
      <c r="G31" s="70"/>
      <c r="H31" s="50" t="s">
        <v>904</v>
      </c>
      <c r="I31" s="33">
        <v>7500</v>
      </c>
      <c r="J31" s="33">
        <v>41318</v>
      </c>
      <c r="K31" s="33">
        <f t="shared" si="1"/>
        <v>97636</v>
      </c>
      <c r="L31" s="51">
        <f>94738+1800+5900+1000+6600</f>
        <v>110038</v>
      </c>
      <c r="M31" s="52">
        <f>K31</f>
        <v>97636</v>
      </c>
      <c r="N31" s="53" t="s">
        <v>910</v>
      </c>
      <c r="O31" s="54" t="s">
        <v>911</v>
      </c>
      <c r="P31" s="50"/>
      <c r="Q31" s="8"/>
    </row>
    <row r="32" spans="1:17" s="7" customFormat="1" ht="24" customHeight="1">
      <c r="A32" s="48">
        <f t="shared" si="0"/>
        <v>28</v>
      </c>
      <c r="B32" s="49" t="s">
        <v>723</v>
      </c>
      <c r="C32" s="49" t="s">
        <v>724</v>
      </c>
      <c r="D32" s="70" t="s">
        <v>447</v>
      </c>
      <c r="E32" s="50" t="s">
        <v>568</v>
      </c>
      <c r="F32" s="60">
        <v>1023674654</v>
      </c>
      <c r="G32" s="70"/>
      <c r="H32" s="50"/>
      <c r="I32" s="33"/>
      <c r="J32" s="33"/>
      <c r="K32" s="33">
        <f t="shared" si="1"/>
        <v>0</v>
      </c>
      <c r="L32" s="51"/>
      <c r="M32" s="52"/>
      <c r="N32" s="53"/>
      <c r="O32" s="54"/>
      <c r="P32" s="50"/>
      <c r="Q32" s="8"/>
    </row>
    <row r="33" spans="1:17" s="7" customFormat="1" ht="24" customHeight="1">
      <c r="A33" s="48">
        <f t="shared" si="0"/>
        <v>29</v>
      </c>
      <c r="B33" s="49" t="s">
        <v>725</v>
      </c>
      <c r="C33" s="49" t="s">
        <v>726</v>
      </c>
      <c r="D33" s="70" t="s">
        <v>448</v>
      </c>
      <c r="E33" s="50" t="s">
        <v>569</v>
      </c>
      <c r="F33" s="60" t="s">
        <v>570</v>
      </c>
      <c r="G33" s="62">
        <v>1</v>
      </c>
      <c r="H33" s="50" t="s">
        <v>838</v>
      </c>
      <c r="I33" s="33">
        <v>0</v>
      </c>
      <c r="J33" s="33">
        <v>1050</v>
      </c>
      <c r="K33" s="33">
        <f t="shared" si="1"/>
        <v>2100</v>
      </c>
      <c r="L33" s="51">
        <f>58000</f>
        <v>58000</v>
      </c>
      <c r="M33" s="52">
        <f>K33</f>
        <v>2100</v>
      </c>
      <c r="N33" s="53" t="s">
        <v>859</v>
      </c>
      <c r="O33" s="54" t="s">
        <v>860</v>
      </c>
      <c r="P33" s="50" t="s">
        <v>841</v>
      </c>
      <c r="Q33" s="8"/>
    </row>
    <row r="34" spans="1:17" s="7" customFormat="1" ht="24" customHeight="1">
      <c r="A34" s="48">
        <f t="shared" si="0"/>
        <v>30</v>
      </c>
      <c r="B34" s="49" t="s">
        <v>727</v>
      </c>
      <c r="C34" s="49" t="s">
        <v>728</v>
      </c>
      <c r="D34" s="70" t="s">
        <v>449</v>
      </c>
      <c r="E34" s="50" t="s">
        <v>571</v>
      </c>
      <c r="F34" s="60">
        <v>1030139867</v>
      </c>
      <c r="G34" s="62">
        <v>1</v>
      </c>
      <c r="H34" s="50" t="s">
        <v>849</v>
      </c>
      <c r="I34" s="33"/>
      <c r="J34" s="33"/>
      <c r="K34" s="33">
        <f t="shared" si="1"/>
        <v>0</v>
      </c>
      <c r="L34" s="51">
        <f>27800+15000</f>
        <v>42800</v>
      </c>
      <c r="M34" s="52">
        <f>L34</f>
        <v>42800</v>
      </c>
      <c r="N34" s="53" t="s">
        <v>850</v>
      </c>
      <c r="O34" s="54" t="s">
        <v>851</v>
      </c>
      <c r="P34" s="50"/>
      <c r="Q34" s="8"/>
    </row>
    <row r="35" spans="1:17" s="7" customFormat="1" ht="24" customHeight="1">
      <c r="A35" s="48">
        <f t="shared" si="0"/>
        <v>31</v>
      </c>
      <c r="B35" s="49" t="s">
        <v>729</v>
      </c>
      <c r="C35" s="49" t="s">
        <v>730</v>
      </c>
      <c r="D35" s="70" t="s">
        <v>450</v>
      </c>
      <c r="E35" s="50" t="s">
        <v>572</v>
      </c>
      <c r="F35" s="60">
        <v>1071595075</v>
      </c>
      <c r="G35" s="70">
        <v>1</v>
      </c>
      <c r="H35" s="50" t="s">
        <v>838</v>
      </c>
      <c r="I35" s="33">
        <v>0</v>
      </c>
      <c r="J35" s="33">
        <v>2458</v>
      </c>
      <c r="K35" s="33">
        <f t="shared" si="1"/>
        <v>4916</v>
      </c>
      <c r="L35" s="51">
        <f>80000</f>
        <v>80000</v>
      </c>
      <c r="M35" s="52">
        <f>K35</f>
        <v>4916</v>
      </c>
      <c r="N35" s="53" t="s">
        <v>888</v>
      </c>
      <c r="O35" s="54" t="s">
        <v>898</v>
      </c>
      <c r="P35" s="50" t="s">
        <v>841</v>
      </c>
      <c r="Q35" s="8"/>
    </row>
    <row r="36" spans="1:17" s="7" customFormat="1" ht="24" customHeight="1">
      <c r="A36" s="48">
        <f t="shared" si="0"/>
        <v>32</v>
      </c>
      <c r="B36" s="49" t="s">
        <v>731</v>
      </c>
      <c r="C36" s="49" t="s">
        <v>732</v>
      </c>
      <c r="D36" s="70" t="s">
        <v>451</v>
      </c>
      <c r="E36" s="50" t="s">
        <v>573</v>
      </c>
      <c r="F36" s="60" t="s">
        <v>574</v>
      </c>
      <c r="G36" s="70"/>
      <c r="H36" s="50"/>
      <c r="I36" s="33"/>
      <c r="J36" s="33"/>
      <c r="K36" s="33">
        <f t="shared" si="1"/>
        <v>0</v>
      </c>
      <c r="L36" s="51"/>
      <c r="M36" s="52"/>
      <c r="N36" s="53"/>
      <c r="O36" s="54"/>
      <c r="P36" s="50"/>
      <c r="Q36" s="8"/>
    </row>
    <row r="37" spans="1:17" s="7" customFormat="1" ht="24" customHeight="1">
      <c r="A37" s="48">
        <f t="shared" si="0"/>
        <v>33</v>
      </c>
      <c r="B37" s="49" t="s">
        <v>733</v>
      </c>
      <c r="C37" s="49" t="s">
        <v>734</v>
      </c>
      <c r="D37" s="70" t="s">
        <v>452</v>
      </c>
      <c r="E37" s="50" t="s">
        <v>575</v>
      </c>
      <c r="F37" s="60" t="s">
        <v>576</v>
      </c>
      <c r="G37" s="70">
        <v>1</v>
      </c>
      <c r="H37" s="50" t="s">
        <v>838</v>
      </c>
      <c r="I37" s="33">
        <v>0</v>
      </c>
      <c r="J37" s="33">
        <v>3658</v>
      </c>
      <c r="K37" s="33">
        <f t="shared" si="1"/>
        <v>7316</v>
      </c>
      <c r="L37" s="51">
        <f>21360</f>
        <v>21360</v>
      </c>
      <c r="M37" s="52">
        <f>K37</f>
        <v>7316</v>
      </c>
      <c r="N37" s="53" t="s">
        <v>901</v>
      </c>
      <c r="O37" s="54" t="s">
        <v>902</v>
      </c>
      <c r="P37" s="50" t="s">
        <v>841</v>
      </c>
      <c r="Q37" s="8"/>
    </row>
    <row r="38" spans="1:17" s="7" customFormat="1" ht="24" customHeight="1">
      <c r="A38" s="48">
        <f t="shared" si="0"/>
        <v>34</v>
      </c>
      <c r="B38" s="49" t="s">
        <v>735</v>
      </c>
      <c r="C38" s="49" t="s">
        <v>736</v>
      </c>
      <c r="D38" s="70" t="s">
        <v>453</v>
      </c>
      <c r="E38" s="50" t="s">
        <v>577</v>
      </c>
      <c r="F38" s="60">
        <v>1034794302</v>
      </c>
      <c r="G38" s="62">
        <v>1</v>
      </c>
      <c r="H38" s="50" t="s">
        <v>838</v>
      </c>
      <c r="I38" s="33">
        <v>7500</v>
      </c>
      <c r="J38" s="33">
        <v>28025</v>
      </c>
      <c r="K38" s="33">
        <f t="shared" si="1"/>
        <v>71050</v>
      </c>
      <c r="L38" s="51">
        <f>70000+4100+3300</f>
        <v>77400</v>
      </c>
      <c r="M38" s="52">
        <f>K38</f>
        <v>71050</v>
      </c>
      <c r="N38" s="53" t="s">
        <v>842</v>
      </c>
      <c r="O38" s="54" t="s">
        <v>862</v>
      </c>
      <c r="P38" s="50"/>
      <c r="Q38" s="8"/>
    </row>
    <row r="39" spans="1:17" s="7" customFormat="1" ht="24" customHeight="1" thickBot="1">
      <c r="A39" s="48">
        <f t="shared" si="0"/>
        <v>35</v>
      </c>
      <c r="B39" s="49" t="s">
        <v>737</v>
      </c>
      <c r="C39" s="49" t="s">
        <v>738</v>
      </c>
      <c r="D39" s="71" t="s">
        <v>195</v>
      </c>
      <c r="E39" s="50" t="s">
        <v>578</v>
      </c>
      <c r="F39" s="60">
        <v>1072811984</v>
      </c>
      <c r="G39" s="62">
        <v>1</v>
      </c>
      <c r="H39" s="50" t="s">
        <v>849</v>
      </c>
      <c r="I39" s="33"/>
      <c r="J39" s="33"/>
      <c r="K39" s="33">
        <f t="shared" si="1"/>
        <v>0</v>
      </c>
      <c r="L39" s="51">
        <f>25800+22600</f>
        <v>48400</v>
      </c>
      <c r="M39" s="52">
        <f>L39</f>
        <v>48400</v>
      </c>
      <c r="N39" s="53" t="s">
        <v>846</v>
      </c>
      <c r="O39" s="54" t="s">
        <v>865</v>
      </c>
      <c r="P39" s="50"/>
      <c r="Q39" s="8"/>
    </row>
    <row r="40" spans="1:17" s="7" customFormat="1" ht="24" customHeight="1">
      <c r="A40" s="48">
        <f t="shared" si="0"/>
        <v>36</v>
      </c>
      <c r="B40" s="49" t="s">
        <v>739</v>
      </c>
      <c r="C40" s="49" t="s">
        <v>740</v>
      </c>
      <c r="D40" s="77" t="s">
        <v>454</v>
      </c>
      <c r="E40" s="50" t="s">
        <v>579</v>
      </c>
      <c r="F40" s="60" t="s">
        <v>580</v>
      </c>
      <c r="G40" s="116">
        <v>1</v>
      </c>
      <c r="H40" s="50" t="s">
        <v>836</v>
      </c>
      <c r="I40" s="33"/>
      <c r="J40" s="33"/>
      <c r="K40" s="33"/>
      <c r="L40" s="51"/>
      <c r="M40" s="52"/>
      <c r="N40" s="53"/>
      <c r="O40" s="54"/>
      <c r="P40" s="50"/>
      <c r="Q40" s="8"/>
    </row>
    <row r="41" spans="1:17" s="7" customFormat="1" ht="24" customHeight="1" thickBot="1">
      <c r="A41" s="48">
        <f t="shared" si="0"/>
        <v>37</v>
      </c>
      <c r="B41" s="49" t="s">
        <v>741</v>
      </c>
      <c r="C41" s="49" t="s">
        <v>740</v>
      </c>
      <c r="D41" s="78" t="s">
        <v>455</v>
      </c>
      <c r="E41" s="50" t="s">
        <v>581</v>
      </c>
      <c r="F41" s="60" t="s">
        <v>580</v>
      </c>
      <c r="G41" s="117">
        <v>1</v>
      </c>
      <c r="H41" s="50"/>
      <c r="I41" s="33"/>
      <c r="J41" s="33"/>
      <c r="K41" s="33">
        <f t="shared" si="1"/>
        <v>0</v>
      </c>
      <c r="L41" s="51"/>
      <c r="M41" s="52"/>
      <c r="N41" s="53"/>
      <c r="O41" s="54"/>
      <c r="P41" s="50"/>
      <c r="Q41" s="8"/>
    </row>
    <row r="42" spans="1:17" s="7" customFormat="1" ht="24" customHeight="1">
      <c r="A42" s="48">
        <f t="shared" si="0"/>
        <v>38</v>
      </c>
      <c r="B42" s="49" t="s">
        <v>742</v>
      </c>
      <c r="C42" s="49" t="s">
        <v>743</v>
      </c>
      <c r="D42" s="70" t="s">
        <v>456</v>
      </c>
      <c r="E42" s="50" t="s">
        <v>582</v>
      </c>
      <c r="F42" s="60" t="s">
        <v>583</v>
      </c>
      <c r="G42" s="70"/>
      <c r="H42" s="50"/>
      <c r="I42" s="33"/>
      <c r="J42" s="33"/>
      <c r="K42" s="33">
        <f t="shared" si="1"/>
        <v>0</v>
      </c>
      <c r="L42" s="51"/>
      <c r="M42" s="52"/>
      <c r="N42" s="53"/>
      <c r="O42" s="54"/>
      <c r="P42" s="50"/>
      <c r="Q42" s="8"/>
    </row>
    <row r="43" spans="1:17" s="7" customFormat="1" ht="24" customHeight="1">
      <c r="A43" s="48">
        <f t="shared" si="0"/>
        <v>39</v>
      </c>
      <c r="B43" s="49" t="s">
        <v>744</v>
      </c>
      <c r="C43" s="49" t="s">
        <v>745</v>
      </c>
      <c r="D43" s="70" t="s">
        <v>457</v>
      </c>
      <c r="E43" s="50" t="s">
        <v>584</v>
      </c>
      <c r="F43" s="60" t="s">
        <v>585</v>
      </c>
      <c r="G43" s="62">
        <v>1</v>
      </c>
      <c r="H43" s="50" t="s">
        <v>838</v>
      </c>
      <c r="I43" s="33">
        <v>0</v>
      </c>
      <c r="J43" s="33">
        <v>5377</v>
      </c>
      <c r="K43" s="33">
        <f t="shared" si="1"/>
        <v>10754</v>
      </c>
      <c r="L43" s="51">
        <f>20000</f>
        <v>20000</v>
      </c>
      <c r="M43" s="52">
        <f>K43</f>
        <v>10754</v>
      </c>
      <c r="N43" s="53" t="s">
        <v>839</v>
      </c>
      <c r="O43" s="54" t="s">
        <v>871</v>
      </c>
      <c r="P43" s="50" t="s">
        <v>841</v>
      </c>
      <c r="Q43" s="8"/>
    </row>
    <row r="44" spans="1:17" s="7" customFormat="1" ht="24" customHeight="1">
      <c r="A44" s="48">
        <f t="shared" si="0"/>
        <v>40</v>
      </c>
      <c r="B44" s="49" t="s">
        <v>746</v>
      </c>
      <c r="C44" s="49" t="s">
        <v>747</v>
      </c>
      <c r="D44" s="70" t="s">
        <v>458</v>
      </c>
      <c r="E44" s="50" t="s">
        <v>586</v>
      </c>
      <c r="F44" s="60">
        <v>1028053899</v>
      </c>
      <c r="G44" s="70"/>
      <c r="H44" s="50" t="s">
        <v>836</v>
      </c>
      <c r="I44" s="33"/>
      <c r="J44" s="33"/>
      <c r="K44" s="33">
        <f t="shared" si="1"/>
        <v>0</v>
      </c>
      <c r="L44" s="51"/>
      <c r="M44" s="52"/>
      <c r="N44" s="53"/>
      <c r="O44" s="54"/>
      <c r="P44" s="50"/>
      <c r="Q44" s="8"/>
    </row>
    <row r="45" spans="1:17" s="7" customFormat="1" ht="24" customHeight="1">
      <c r="A45" s="48">
        <f t="shared" si="0"/>
        <v>41</v>
      </c>
      <c r="B45" s="49" t="s">
        <v>748</v>
      </c>
      <c r="C45" s="49" t="s">
        <v>749</v>
      </c>
      <c r="D45" s="70" t="s">
        <v>459</v>
      </c>
      <c r="E45" s="50" t="s">
        <v>587</v>
      </c>
      <c r="F45" s="60">
        <v>1034471816</v>
      </c>
      <c r="G45" s="70"/>
      <c r="H45" s="50" t="s">
        <v>836</v>
      </c>
      <c r="I45" s="33"/>
      <c r="J45" s="33"/>
      <c r="K45" s="33">
        <f t="shared" si="1"/>
        <v>0</v>
      </c>
      <c r="L45" s="51"/>
      <c r="M45" s="52"/>
      <c r="N45" s="53"/>
      <c r="O45" s="54"/>
      <c r="P45" s="50"/>
      <c r="Q45" s="8"/>
    </row>
    <row r="46" spans="1:17" s="7" customFormat="1" ht="24" customHeight="1">
      <c r="A46" s="48">
        <f t="shared" si="0"/>
        <v>42</v>
      </c>
      <c r="B46" s="49" t="s">
        <v>750</v>
      </c>
      <c r="C46" s="49" t="s">
        <v>751</v>
      </c>
      <c r="D46" s="70" t="s">
        <v>460</v>
      </c>
      <c r="E46" s="50" t="s">
        <v>588</v>
      </c>
      <c r="F46" s="60">
        <v>1076347861</v>
      </c>
      <c r="G46" s="62">
        <v>1</v>
      </c>
      <c r="H46" s="50" t="s">
        <v>838</v>
      </c>
      <c r="I46" s="33">
        <v>0</v>
      </c>
      <c r="J46" s="33">
        <v>5136</v>
      </c>
      <c r="K46" s="33">
        <f t="shared" si="1"/>
        <v>10272</v>
      </c>
      <c r="L46" s="51">
        <v>44254</v>
      </c>
      <c r="M46" s="52">
        <f>K46</f>
        <v>10272</v>
      </c>
      <c r="N46" s="53" t="s">
        <v>846</v>
      </c>
      <c r="O46" s="54" t="s">
        <v>874</v>
      </c>
      <c r="P46" s="50" t="s">
        <v>841</v>
      </c>
      <c r="Q46" s="8"/>
    </row>
    <row r="47" spans="1:17" s="7" customFormat="1" ht="24" customHeight="1">
      <c r="A47" s="48">
        <f t="shared" si="0"/>
        <v>43</v>
      </c>
      <c r="B47" s="49" t="s">
        <v>752</v>
      </c>
      <c r="C47" s="49" t="s">
        <v>753</v>
      </c>
      <c r="D47" s="70" t="s">
        <v>461</v>
      </c>
      <c r="E47" s="50" t="s">
        <v>589</v>
      </c>
      <c r="F47" s="60">
        <v>1032839858</v>
      </c>
      <c r="G47" s="70"/>
      <c r="H47" s="50" t="s">
        <v>838</v>
      </c>
      <c r="I47" s="33">
        <v>0</v>
      </c>
      <c r="J47" s="33">
        <v>2428</v>
      </c>
      <c r="K47" s="33">
        <f t="shared" si="1"/>
        <v>4856</v>
      </c>
      <c r="L47" s="51">
        <f>83000</f>
        <v>83000</v>
      </c>
      <c r="M47" s="52">
        <f>K47</f>
        <v>4856</v>
      </c>
      <c r="N47" s="53" t="s">
        <v>916</v>
      </c>
      <c r="O47" s="54" t="s">
        <v>917</v>
      </c>
      <c r="P47" s="50" t="s">
        <v>841</v>
      </c>
      <c r="Q47" s="8"/>
    </row>
    <row r="48" spans="1:17" s="7" customFormat="1" ht="24" customHeight="1">
      <c r="A48" s="48">
        <f t="shared" si="0"/>
        <v>44</v>
      </c>
      <c r="B48" s="49" t="s">
        <v>754</v>
      </c>
      <c r="C48" s="49" t="s">
        <v>755</v>
      </c>
      <c r="D48" s="70" t="s">
        <v>462</v>
      </c>
      <c r="E48" s="50" t="s">
        <v>590</v>
      </c>
      <c r="F48" s="60" t="s">
        <v>591</v>
      </c>
      <c r="G48" s="62">
        <v>1</v>
      </c>
      <c r="H48" s="50" t="s">
        <v>836</v>
      </c>
      <c r="I48" s="33"/>
      <c r="J48" s="33"/>
      <c r="K48" s="33">
        <f t="shared" si="1"/>
        <v>0</v>
      </c>
      <c r="L48" s="51"/>
      <c r="M48" s="52"/>
      <c r="N48" s="53"/>
      <c r="O48" s="54"/>
      <c r="P48" s="50"/>
      <c r="Q48" s="8"/>
    </row>
    <row r="49" spans="1:17" s="7" customFormat="1" ht="24" customHeight="1" thickBot="1">
      <c r="A49" s="48">
        <f t="shared" si="0"/>
        <v>45</v>
      </c>
      <c r="B49" s="49" t="s">
        <v>756</v>
      </c>
      <c r="C49" s="49" t="s">
        <v>757</v>
      </c>
      <c r="D49" s="71" t="s">
        <v>463</v>
      </c>
      <c r="E49" s="50" t="s">
        <v>592</v>
      </c>
      <c r="F49" s="60">
        <v>1058707079</v>
      </c>
      <c r="G49" s="71"/>
      <c r="H49" s="50"/>
      <c r="I49" s="33"/>
      <c r="J49" s="33"/>
      <c r="K49" s="33">
        <f t="shared" si="1"/>
        <v>0</v>
      </c>
      <c r="L49" s="51"/>
      <c r="M49" s="52"/>
      <c r="N49" s="53"/>
      <c r="O49" s="54"/>
      <c r="P49" s="50"/>
      <c r="Q49" s="8"/>
    </row>
    <row r="50" spans="1:17" s="7" customFormat="1" ht="24" customHeight="1">
      <c r="A50" s="48">
        <f t="shared" si="0"/>
        <v>46</v>
      </c>
      <c r="B50" s="49" t="s">
        <v>739</v>
      </c>
      <c r="C50" s="49" t="s">
        <v>740</v>
      </c>
      <c r="D50" s="79" t="s">
        <v>464</v>
      </c>
      <c r="E50" s="50" t="s">
        <v>593</v>
      </c>
      <c r="F50" s="60">
        <v>1032135307</v>
      </c>
      <c r="G50" s="118"/>
      <c r="H50" s="50"/>
      <c r="I50" s="33"/>
      <c r="J50" s="33"/>
      <c r="K50" s="33">
        <f t="shared" si="1"/>
        <v>0</v>
      </c>
      <c r="L50" s="51"/>
      <c r="M50" s="52"/>
      <c r="N50" s="53"/>
      <c r="O50" s="54"/>
      <c r="P50" s="50"/>
      <c r="Q50" s="8"/>
    </row>
    <row r="51" spans="1:17" s="7" customFormat="1" ht="24" customHeight="1" thickBot="1">
      <c r="A51" s="48">
        <f t="shared" si="0"/>
        <v>47</v>
      </c>
      <c r="B51" s="49" t="s">
        <v>758</v>
      </c>
      <c r="C51" s="49" t="s">
        <v>740</v>
      </c>
      <c r="D51" s="80" t="s">
        <v>465</v>
      </c>
      <c r="E51" s="50" t="s">
        <v>594</v>
      </c>
      <c r="F51" s="60" t="s">
        <v>595</v>
      </c>
      <c r="G51" s="119"/>
      <c r="H51" s="50"/>
      <c r="I51" s="33"/>
      <c r="J51" s="33"/>
      <c r="K51" s="33">
        <f t="shared" si="1"/>
        <v>0</v>
      </c>
      <c r="L51" s="51"/>
      <c r="M51" s="52"/>
      <c r="N51" s="53"/>
      <c r="O51" s="54"/>
      <c r="P51" s="50"/>
      <c r="Q51" s="8"/>
    </row>
    <row r="52" spans="1:17" s="7" customFormat="1" ht="24" customHeight="1">
      <c r="A52" s="48">
        <f t="shared" si="0"/>
        <v>48</v>
      </c>
      <c r="B52" s="49" t="s">
        <v>759</v>
      </c>
      <c r="C52" s="49" t="s">
        <v>760</v>
      </c>
      <c r="D52" s="72" t="s">
        <v>466</v>
      </c>
      <c r="E52" s="50" t="s">
        <v>596</v>
      </c>
      <c r="F52" s="60">
        <v>1082547536</v>
      </c>
      <c r="G52" s="112"/>
      <c r="H52" s="50"/>
      <c r="I52" s="33"/>
      <c r="J52" s="33"/>
      <c r="K52" s="33">
        <f t="shared" si="1"/>
        <v>0</v>
      </c>
      <c r="L52" s="51"/>
      <c r="M52" s="52"/>
      <c r="N52" s="53"/>
      <c r="O52" s="54"/>
      <c r="P52" s="50"/>
      <c r="Q52" s="8"/>
    </row>
    <row r="53" spans="1:17" s="7" customFormat="1" ht="24" customHeight="1" thickBot="1">
      <c r="A53" s="48">
        <f t="shared" si="0"/>
        <v>49</v>
      </c>
      <c r="B53" s="49" t="s">
        <v>759</v>
      </c>
      <c r="C53" s="49" t="s">
        <v>760</v>
      </c>
      <c r="D53" s="73" t="s">
        <v>467</v>
      </c>
      <c r="E53" s="50" t="s">
        <v>596</v>
      </c>
      <c r="F53" s="60" t="s">
        <v>547</v>
      </c>
      <c r="G53" s="113"/>
      <c r="H53" s="50"/>
      <c r="I53" s="33"/>
      <c r="J53" s="33"/>
      <c r="K53" s="33">
        <f t="shared" si="1"/>
        <v>0</v>
      </c>
      <c r="L53" s="51"/>
      <c r="M53" s="52"/>
      <c r="N53" s="53"/>
      <c r="O53" s="54"/>
      <c r="P53" s="50"/>
      <c r="Q53" s="8" t="str">
        <f t="shared" si="2"/>
        <v/>
      </c>
    </row>
    <row r="54" spans="1:17" s="7" customFormat="1" ht="24" customHeight="1">
      <c r="A54" s="48">
        <f t="shared" si="0"/>
        <v>50</v>
      </c>
      <c r="B54" s="49" t="s">
        <v>711</v>
      </c>
      <c r="C54" s="49" t="s">
        <v>712</v>
      </c>
      <c r="D54" s="76" t="s">
        <v>468</v>
      </c>
      <c r="E54" s="50" t="s">
        <v>557</v>
      </c>
      <c r="F54" s="60" t="s">
        <v>597</v>
      </c>
      <c r="G54" s="76"/>
      <c r="H54" s="50"/>
      <c r="I54" s="33"/>
      <c r="J54" s="33"/>
      <c r="K54" s="33">
        <f t="shared" si="1"/>
        <v>0</v>
      </c>
      <c r="L54" s="51"/>
      <c r="M54" s="52"/>
      <c r="N54" s="53"/>
      <c r="O54" s="54"/>
      <c r="P54" s="50"/>
      <c r="Q54" s="8" t="str">
        <f t="shared" si="2"/>
        <v/>
      </c>
    </row>
    <row r="55" spans="1:17" s="7" customFormat="1" ht="24" customHeight="1">
      <c r="A55" s="48">
        <f t="shared" si="0"/>
        <v>51</v>
      </c>
      <c r="B55" s="49" t="s">
        <v>752</v>
      </c>
      <c r="C55" s="49" t="s">
        <v>753</v>
      </c>
      <c r="D55" s="70" t="s">
        <v>469</v>
      </c>
      <c r="E55" s="50" t="s">
        <v>598</v>
      </c>
      <c r="F55" s="60">
        <v>1056097204</v>
      </c>
      <c r="G55" s="70"/>
      <c r="H55" s="50"/>
      <c r="I55" s="33"/>
      <c r="J55" s="33"/>
      <c r="K55" s="33">
        <f t="shared" si="1"/>
        <v>0</v>
      </c>
      <c r="L55" s="51"/>
      <c r="M55" s="52"/>
      <c r="N55" s="53"/>
      <c r="O55" s="54"/>
      <c r="P55" s="50"/>
      <c r="Q55" s="8" t="str">
        <f t="shared" si="2"/>
        <v/>
      </c>
    </row>
    <row r="56" spans="1:17" s="7" customFormat="1" ht="24" customHeight="1">
      <c r="A56" s="48">
        <f t="shared" si="0"/>
        <v>52</v>
      </c>
      <c r="B56" s="49" t="s">
        <v>761</v>
      </c>
      <c r="C56" s="49" t="s">
        <v>762</v>
      </c>
      <c r="D56" s="70" t="s">
        <v>470</v>
      </c>
      <c r="E56" s="50" t="s">
        <v>599</v>
      </c>
      <c r="F56" s="60" t="s">
        <v>600</v>
      </c>
      <c r="G56" s="70"/>
      <c r="H56" s="50"/>
      <c r="I56" s="33"/>
      <c r="J56" s="33"/>
      <c r="K56" s="33">
        <f t="shared" si="1"/>
        <v>0</v>
      </c>
      <c r="L56" s="51"/>
      <c r="M56" s="52"/>
      <c r="N56" s="53"/>
      <c r="O56" s="54"/>
      <c r="P56" s="50"/>
      <c r="Q56" s="8" t="str">
        <f t="shared" si="2"/>
        <v/>
      </c>
    </row>
    <row r="57" spans="1:17" s="7" customFormat="1" ht="24" customHeight="1">
      <c r="A57" s="48">
        <f t="shared" si="0"/>
        <v>53</v>
      </c>
      <c r="B57" s="49" t="s">
        <v>681</v>
      </c>
      <c r="C57" s="49" t="s">
        <v>682</v>
      </c>
      <c r="D57" s="70" t="s">
        <v>471</v>
      </c>
      <c r="E57" s="50" t="s">
        <v>601</v>
      </c>
      <c r="F57" s="60" t="s">
        <v>602</v>
      </c>
      <c r="G57" s="62">
        <v>1</v>
      </c>
      <c r="H57" s="50" t="s">
        <v>849</v>
      </c>
      <c r="I57" s="33"/>
      <c r="J57" s="33"/>
      <c r="K57" s="33">
        <f t="shared" si="1"/>
        <v>0</v>
      </c>
      <c r="L57" s="51">
        <f>21300+14700</f>
        <v>36000</v>
      </c>
      <c r="M57" s="52">
        <f>L57</f>
        <v>36000</v>
      </c>
      <c r="N57" s="53" t="s">
        <v>850</v>
      </c>
      <c r="O57" s="54" t="s">
        <v>861</v>
      </c>
      <c r="P57" s="50"/>
      <c r="Q57" s="8" t="str">
        <f t="shared" si="2"/>
        <v>신한은행 59704044023</v>
      </c>
    </row>
    <row r="58" spans="1:17" s="7" customFormat="1" ht="24" customHeight="1">
      <c r="A58" s="48">
        <f t="shared" si="0"/>
        <v>54</v>
      </c>
      <c r="B58" s="49" t="s">
        <v>763</v>
      </c>
      <c r="C58" s="49" t="s">
        <v>764</v>
      </c>
      <c r="D58" s="70" t="s">
        <v>472</v>
      </c>
      <c r="E58" s="50" t="s">
        <v>603</v>
      </c>
      <c r="F58" s="60">
        <v>1062908563</v>
      </c>
      <c r="G58" s="70"/>
      <c r="H58" s="50"/>
      <c r="I58" s="33"/>
      <c r="J58" s="33"/>
      <c r="K58" s="33">
        <f t="shared" si="1"/>
        <v>0</v>
      </c>
      <c r="L58" s="51"/>
      <c r="M58" s="52"/>
      <c r="N58" s="53"/>
      <c r="O58" s="54"/>
      <c r="P58" s="50"/>
      <c r="Q58" s="8" t="str">
        <f t="shared" si="2"/>
        <v/>
      </c>
    </row>
    <row r="59" spans="1:17" s="7" customFormat="1" ht="24" customHeight="1">
      <c r="A59" s="48">
        <f t="shared" si="0"/>
        <v>55</v>
      </c>
      <c r="B59" s="49" t="s">
        <v>752</v>
      </c>
      <c r="C59" s="49" t="s">
        <v>753</v>
      </c>
      <c r="D59" s="70" t="s">
        <v>473</v>
      </c>
      <c r="E59" s="50" t="s">
        <v>604</v>
      </c>
      <c r="F59" s="60">
        <v>1063642170</v>
      </c>
      <c r="G59" s="70"/>
      <c r="H59" s="50"/>
      <c r="I59" s="33"/>
      <c r="J59" s="33"/>
      <c r="K59" s="33">
        <f t="shared" si="1"/>
        <v>0</v>
      </c>
      <c r="L59" s="51"/>
      <c r="M59" s="52"/>
      <c r="N59" s="53"/>
      <c r="O59" s="54"/>
      <c r="P59" s="50"/>
      <c r="Q59" s="8" t="str">
        <f t="shared" si="2"/>
        <v/>
      </c>
    </row>
    <row r="60" spans="1:17" s="7" customFormat="1" ht="24" customHeight="1">
      <c r="A60" s="48">
        <f t="shared" si="0"/>
        <v>56</v>
      </c>
      <c r="B60" s="49" t="s">
        <v>765</v>
      </c>
      <c r="C60" s="49" t="s">
        <v>766</v>
      </c>
      <c r="D60" s="70" t="s">
        <v>474</v>
      </c>
      <c r="E60" s="50" t="s">
        <v>605</v>
      </c>
      <c r="F60" s="60" t="s">
        <v>606</v>
      </c>
      <c r="G60" s="70"/>
      <c r="H60" s="50" t="s">
        <v>904</v>
      </c>
      <c r="I60" s="33">
        <v>9400</v>
      </c>
      <c r="J60" s="33">
        <v>32865</v>
      </c>
      <c r="K60" s="33">
        <f t="shared" si="1"/>
        <v>84530</v>
      </c>
      <c r="L60" s="51">
        <f>70000+6000+4100+10100</f>
        <v>90200</v>
      </c>
      <c r="M60" s="52">
        <f>K60</f>
        <v>84530</v>
      </c>
      <c r="N60" s="53" t="s">
        <v>905</v>
      </c>
      <c r="O60" s="54" t="s">
        <v>906</v>
      </c>
      <c r="P60" s="50"/>
      <c r="Q60" s="8" t="str">
        <f t="shared" si="2"/>
        <v>하나은행 74891040482807</v>
      </c>
    </row>
    <row r="61" spans="1:17" s="7" customFormat="1" ht="24" customHeight="1">
      <c r="A61" s="48">
        <f t="shared" si="0"/>
        <v>57</v>
      </c>
      <c r="B61" s="49" t="s">
        <v>767</v>
      </c>
      <c r="C61" s="49" t="s">
        <v>743</v>
      </c>
      <c r="D61" s="70" t="s">
        <v>475</v>
      </c>
      <c r="E61" s="50" t="s">
        <v>607</v>
      </c>
      <c r="F61" s="60" t="s">
        <v>608</v>
      </c>
      <c r="G61" s="70"/>
      <c r="H61" s="50"/>
      <c r="I61" s="33"/>
      <c r="J61" s="33"/>
      <c r="K61" s="33">
        <f t="shared" si="1"/>
        <v>0</v>
      </c>
      <c r="L61" s="51"/>
      <c r="M61" s="52"/>
      <c r="N61" s="53"/>
      <c r="O61" s="54"/>
      <c r="P61" s="50"/>
      <c r="Q61" s="8" t="str">
        <f t="shared" si="2"/>
        <v/>
      </c>
    </row>
    <row r="62" spans="1:17" s="7" customFormat="1" ht="24" customHeight="1">
      <c r="A62" s="48">
        <f t="shared" si="0"/>
        <v>58</v>
      </c>
      <c r="B62" s="49" t="s">
        <v>746</v>
      </c>
      <c r="C62" s="49" t="s">
        <v>747</v>
      </c>
      <c r="D62" s="70" t="s">
        <v>476</v>
      </c>
      <c r="E62" s="50" t="s">
        <v>609</v>
      </c>
      <c r="F62" s="60" t="s">
        <v>610</v>
      </c>
      <c r="G62" s="70"/>
      <c r="H62" s="50"/>
      <c r="I62" s="33"/>
      <c r="J62" s="33"/>
      <c r="K62" s="33">
        <f t="shared" si="1"/>
        <v>0</v>
      </c>
      <c r="L62" s="51"/>
      <c r="M62" s="52"/>
      <c r="N62" s="53"/>
      <c r="O62" s="54"/>
      <c r="P62" s="50"/>
      <c r="Q62" s="8" t="str">
        <f t="shared" si="2"/>
        <v/>
      </c>
    </row>
    <row r="63" spans="1:17" s="7" customFormat="1" ht="24" customHeight="1">
      <c r="A63" s="48">
        <f t="shared" si="0"/>
        <v>59</v>
      </c>
      <c r="B63" s="49" t="s">
        <v>768</v>
      </c>
      <c r="C63" s="49" t="s">
        <v>769</v>
      </c>
      <c r="D63" s="70" t="s">
        <v>477</v>
      </c>
      <c r="E63" s="50" t="s">
        <v>611</v>
      </c>
      <c r="F63" s="60" t="s">
        <v>612</v>
      </c>
      <c r="G63" s="70">
        <v>1</v>
      </c>
      <c r="H63" s="50" t="s">
        <v>838</v>
      </c>
      <c r="I63" s="33">
        <v>0</v>
      </c>
      <c r="J63" s="33">
        <v>3283</v>
      </c>
      <c r="K63" s="33">
        <f t="shared" si="1"/>
        <v>6566</v>
      </c>
      <c r="L63" s="51">
        <v>9691</v>
      </c>
      <c r="M63" s="52">
        <f>K63</f>
        <v>6566</v>
      </c>
      <c r="N63" s="53" t="s">
        <v>899</v>
      </c>
      <c r="O63" s="54" t="s">
        <v>900</v>
      </c>
      <c r="P63" s="50"/>
      <c r="Q63" s="8" t="str">
        <f t="shared" si="2"/>
        <v>카카오은행 3333033598537</v>
      </c>
    </row>
    <row r="64" spans="1:17" s="7" customFormat="1" ht="24" customHeight="1">
      <c r="A64" s="48">
        <f t="shared" si="0"/>
        <v>60</v>
      </c>
      <c r="B64" s="55" t="s">
        <v>770</v>
      </c>
      <c r="C64" s="55" t="s">
        <v>771</v>
      </c>
      <c r="D64" s="70" t="s">
        <v>478</v>
      </c>
      <c r="E64" s="50" t="s">
        <v>613</v>
      </c>
      <c r="F64" s="60" t="s">
        <v>614</v>
      </c>
      <c r="G64" s="70"/>
      <c r="H64" s="50" t="s">
        <v>836</v>
      </c>
      <c r="I64" s="33"/>
      <c r="J64" s="33"/>
      <c r="K64" s="33">
        <f t="shared" si="1"/>
        <v>0</v>
      </c>
      <c r="L64" s="51"/>
      <c r="M64" s="52"/>
      <c r="N64" s="53"/>
      <c r="O64" s="58"/>
      <c r="P64" s="50"/>
      <c r="Q64" s="8" t="str">
        <f t="shared" si="2"/>
        <v/>
      </c>
    </row>
    <row r="65" spans="1:17" s="7" customFormat="1" ht="24">
      <c r="A65" s="48">
        <f t="shared" si="0"/>
        <v>61</v>
      </c>
      <c r="B65" s="49" t="s">
        <v>772</v>
      </c>
      <c r="C65" s="49" t="s">
        <v>773</v>
      </c>
      <c r="D65" s="70" t="s">
        <v>479</v>
      </c>
      <c r="E65" s="50" t="s">
        <v>615</v>
      </c>
      <c r="F65" s="60">
        <v>1033344947</v>
      </c>
      <c r="G65" s="70">
        <v>1</v>
      </c>
      <c r="H65" s="50" t="s">
        <v>849</v>
      </c>
      <c r="I65" s="33"/>
      <c r="J65" s="33"/>
      <c r="K65" s="33">
        <f t="shared" si="1"/>
        <v>0</v>
      </c>
      <c r="L65" s="51">
        <f>31200+27600+6400+12800</f>
        <v>78000</v>
      </c>
      <c r="M65" s="52">
        <f>27600+6400+12800+26000</f>
        <v>72800</v>
      </c>
      <c r="N65" s="53" t="s">
        <v>888</v>
      </c>
      <c r="O65" s="54" t="s">
        <v>889</v>
      </c>
      <c r="P65" s="50" t="s">
        <v>875</v>
      </c>
      <c r="Q65" s="8" t="str">
        <f t="shared" si="2"/>
        <v>하나은행 49991037882407</v>
      </c>
    </row>
    <row r="66" spans="1:17" s="7" customFormat="1" ht="24" customHeight="1">
      <c r="A66" s="48">
        <f t="shared" si="0"/>
        <v>62</v>
      </c>
      <c r="B66" s="49" t="s">
        <v>681</v>
      </c>
      <c r="C66" s="49" t="s">
        <v>682</v>
      </c>
      <c r="D66" s="70" t="s">
        <v>480</v>
      </c>
      <c r="E66" s="50" t="s">
        <v>616</v>
      </c>
      <c r="F66" s="60" t="s">
        <v>617</v>
      </c>
      <c r="G66" s="70"/>
      <c r="H66" s="50"/>
      <c r="I66" s="33"/>
      <c r="J66" s="33"/>
      <c r="K66" s="33">
        <f t="shared" si="1"/>
        <v>0</v>
      </c>
      <c r="L66" s="51"/>
      <c r="M66" s="52"/>
      <c r="N66" s="53"/>
      <c r="O66" s="54"/>
      <c r="P66" s="50"/>
      <c r="Q66" s="8" t="str">
        <f t="shared" si="2"/>
        <v/>
      </c>
    </row>
    <row r="67" spans="1:17" s="7" customFormat="1" ht="24" customHeight="1">
      <c r="A67" s="48">
        <f t="shared" si="0"/>
        <v>63</v>
      </c>
      <c r="B67" s="49" t="s">
        <v>774</v>
      </c>
      <c r="C67" s="49" t="s">
        <v>775</v>
      </c>
      <c r="D67" s="70" t="s">
        <v>481</v>
      </c>
      <c r="E67" s="50" t="s">
        <v>618</v>
      </c>
      <c r="F67" s="60" t="s">
        <v>619</v>
      </c>
      <c r="G67" s="70"/>
      <c r="H67" s="50" t="s">
        <v>849</v>
      </c>
      <c r="I67" s="33"/>
      <c r="J67" s="33"/>
      <c r="K67" s="33">
        <f t="shared" si="1"/>
        <v>0</v>
      </c>
      <c r="L67" s="51">
        <f>11300+11200</f>
        <v>22500</v>
      </c>
      <c r="M67" s="52">
        <f>L67</f>
        <v>22500</v>
      </c>
      <c r="N67" s="53" t="s">
        <v>912</v>
      </c>
      <c r="O67" s="54" t="s">
        <v>913</v>
      </c>
      <c r="P67" s="50"/>
      <c r="Q67" s="8" t="str">
        <f t="shared" si="2"/>
        <v>농협은행 10012756041362</v>
      </c>
    </row>
    <row r="68" spans="1:17" s="7" customFormat="1" ht="24" customHeight="1">
      <c r="A68" s="48">
        <f t="shared" si="0"/>
        <v>64</v>
      </c>
      <c r="B68" s="49" t="s">
        <v>735</v>
      </c>
      <c r="C68" s="49" t="s">
        <v>736</v>
      </c>
      <c r="D68" s="70" t="s">
        <v>482</v>
      </c>
      <c r="E68" s="50" t="s">
        <v>620</v>
      </c>
      <c r="F68" s="60" t="s">
        <v>621</v>
      </c>
      <c r="G68" s="70"/>
      <c r="H68" s="50" t="s">
        <v>909</v>
      </c>
      <c r="I68" s="33"/>
      <c r="J68" s="33"/>
      <c r="K68" s="33">
        <f t="shared" si="1"/>
        <v>0</v>
      </c>
      <c r="L68" s="51">
        <f>14900+14900+12300</f>
        <v>42100</v>
      </c>
      <c r="M68" s="52">
        <f>L68</f>
        <v>42100</v>
      </c>
      <c r="N68" s="53" t="s">
        <v>907</v>
      </c>
      <c r="O68" s="54" t="s">
        <v>908</v>
      </c>
      <c r="P68" s="50"/>
      <c r="Q68" s="8" t="str">
        <f t="shared" si="2"/>
        <v>농협은행 31306552147848</v>
      </c>
    </row>
    <row r="69" spans="1:17" s="7" customFormat="1" ht="24" customHeight="1">
      <c r="A69" s="48">
        <f t="shared" si="0"/>
        <v>65</v>
      </c>
      <c r="B69" s="49" t="s">
        <v>776</v>
      </c>
      <c r="C69" s="49" t="s">
        <v>777</v>
      </c>
      <c r="D69" s="70" t="s">
        <v>483</v>
      </c>
      <c r="E69" s="50" t="s">
        <v>622</v>
      </c>
      <c r="F69" s="60" t="s">
        <v>623</v>
      </c>
      <c r="G69" s="70"/>
      <c r="H69" s="50" t="s">
        <v>849</v>
      </c>
      <c r="I69" s="33"/>
      <c r="J69" s="33"/>
      <c r="K69" s="33">
        <f t="shared" si="1"/>
        <v>0</v>
      </c>
      <c r="L69" s="51">
        <f>18000+17600</f>
        <v>35600</v>
      </c>
      <c r="M69" s="52">
        <f>L69</f>
        <v>35600</v>
      </c>
      <c r="N69" s="53" t="s">
        <v>916</v>
      </c>
      <c r="O69" s="54" t="s">
        <v>920</v>
      </c>
      <c r="P69" s="50"/>
      <c r="Q69" s="8" t="str">
        <f t="shared" si="2"/>
        <v>하나은행 32791039058607</v>
      </c>
    </row>
    <row r="70" spans="1:17" s="7" customFormat="1" ht="24" customHeight="1">
      <c r="A70" s="48">
        <f t="shared" si="0"/>
        <v>66</v>
      </c>
      <c r="B70" s="49" t="s">
        <v>778</v>
      </c>
      <c r="C70" s="49" t="s">
        <v>779</v>
      </c>
      <c r="D70" s="70" t="s">
        <v>484</v>
      </c>
      <c r="E70" s="50" t="s">
        <v>624</v>
      </c>
      <c r="F70" s="60">
        <v>1027619719</v>
      </c>
      <c r="G70" s="62">
        <v>1</v>
      </c>
      <c r="H70" s="50" t="s">
        <v>836</v>
      </c>
      <c r="I70" s="33"/>
      <c r="J70" s="33"/>
      <c r="K70" s="33">
        <f t="shared" si="1"/>
        <v>0</v>
      </c>
      <c r="L70" s="51"/>
      <c r="M70" s="52"/>
      <c r="N70" s="53"/>
      <c r="O70" s="54"/>
      <c r="P70" s="50"/>
      <c r="Q70" s="8" t="str">
        <f t="shared" si="2"/>
        <v/>
      </c>
    </row>
    <row r="71" spans="1:17" s="7" customFormat="1" ht="24" customHeight="1">
      <c r="A71" s="48">
        <f t="shared" si="0"/>
        <v>67</v>
      </c>
      <c r="B71" s="49" t="s">
        <v>780</v>
      </c>
      <c r="C71" s="49" t="s">
        <v>781</v>
      </c>
      <c r="D71" s="70" t="s">
        <v>485</v>
      </c>
      <c r="E71" s="50" t="s">
        <v>625</v>
      </c>
      <c r="F71" s="60" t="s">
        <v>626</v>
      </c>
      <c r="G71" s="62">
        <v>1</v>
      </c>
      <c r="H71" s="50" t="s">
        <v>836</v>
      </c>
      <c r="I71" s="33"/>
      <c r="J71" s="33"/>
      <c r="K71" s="33">
        <f t="shared" si="1"/>
        <v>0</v>
      </c>
      <c r="L71" s="51"/>
      <c r="M71" s="52"/>
      <c r="N71" s="53"/>
      <c r="O71" s="54"/>
      <c r="P71" s="50"/>
      <c r="Q71" s="8" t="str">
        <f t="shared" si="2"/>
        <v/>
      </c>
    </row>
    <row r="72" spans="1:17" s="7" customFormat="1" ht="24" customHeight="1">
      <c r="A72" s="48">
        <f t="shared" si="0"/>
        <v>68</v>
      </c>
      <c r="B72" s="49" t="s">
        <v>709</v>
      </c>
      <c r="C72" s="49" t="s">
        <v>710</v>
      </c>
      <c r="D72" s="70" t="s">
        <v>486</v>
      </c>
      <c r="E72" s="50" t="s">
        <v>555</v>
      </c>
      <c r="F72" s="60" t="s">
        <v>627</v>
      </c>
      <c r="G72" s="70"/>
      <c r="H72" s="50"/>
      <c r="I72" s="33"/>
      <c r="J72" s="33"/>
      <c r="K72" s="33">
        <f t="shared" si="1"/>
        <v>0</v>
      </c>
      <c r="L72" s="51"/>
      <c r="M72" s="52"/>
      <c r="N72" s="53"/>
      <c r="O72" s="54"/>
      <c r="P72" s="50"/>
      <c r="Q72" s="8" t="str">
        <f t="shared" si="2"/>
        <v/>
      </c>
    </row>
    <row r="73" spans="1:17" s="7" customFormat="1" ht="24" customHeight="1">
      <c r="A73" s="48">
        <f t="shared" si="0"/>
        <v>69</v>
      </c>
      <c r="B73" s="49" t="s">
        <v>782</v>
      </c>
      <c r="C73" s="49" t="s">
        <v>783</v>
      </c>
      <c r="D73" s="70" t="s">
        <v>487</v>
      </c>
      <c r="E73" s="50" t="s">
        <v>628</v>
      </c>
      <c r="F73" s="60" t="s">
        <v>629</v>
      </c>
      <c r="G73" s="70"/>
      <c r="H73" s="50" t="s">
        <v>838</v>
      </c>
      <c r="I73" s="33">
        <v>0</v>
      </c>
      <c r="J73" s="33">
        <v>4472</v>
      </c>
      <c r="K73" s="33">
        <f t="shared" si="1"/>
        <v>8944</v>
      </c>
      <c r="L73" s="51">
        <v>92000</v>
      </c>
      <c r="M73" s="52">
        <f>K73</f>
        <v>8944</v>
      </c>
      <c r="N73" s="53" t="s">
        <v>914</v>
      </c>
      <c r="O73" s="54" t="s">
        <v>921</v>
      </c>
      <c r="P73" s="50" t="s">
        <v>841</v>
      </c>
      <c r="Q73" s="8" t="str">
        <f t="shared" si="2"/>
        <v>우리은행 38219247302001</v>
      </c>
    </row>
    <row r="74" spans="1:17" s="7" customFormat="1" ht="24" customHeight="1" thickBot="1">
      <c r="A74" s="48">
        <f t="shared" si="0"/>
        <v>70</v>
      </c>
      <c r="B74" s="49" t="s">
        <v>784</v>
      </c>
      <c r="C74" s="49" t="s">
        <v>785</v>
      </c>
      <c r="D74" s="71" t="s">
        <v>106</v>
      </c>
      <c r="E74" s="50" t="s">
        <v>630</v>
      </c>
      <c r="F74" s="60" t="s">
        <v>631</v>
      </c>
      <c r="G74" s="71">
        <v>1</v>
      </c>
      <c r="H74" s="50" t="s">
        <v>879</v>
      </c>
      <c r="I74" s="33">
        <v>0</v>
      </c>
      <c r="J74" s="33">
        <v>3766</v>
      </c>
      <c r="K74" s="33">
        <f t="shared" si="1"/>
        <v>7532</v>
      </c>
      <c r="L74" s="51">
        <v>44845</v>
      </c>
      <c r="M74" s="52">
        <f>K74</f>
        <v>7532</v>
      </c>
      <c r="N74" s="53" t="s">
        <v>894</v>
      </c>
      <c r="O74" s="54" t="s">
        <v>896</v>
      </c>
      <c r="P74" s="50" t="s">
        <v>841</v>
      </c>
      <c r="Q74" s="8" t="str">
        <f t="shared" si="2"/>
        <v>국민은행 43720204207573</v>
      </c>
    </row>
    <row r="75" spans="1:17" s="7" customFormat="1" ht="24" customHeight="1">
      <c r="A75" s="48">
        <f t="shared" si="0"/>
        <v>71</v>
      </c>
      <c r="B75" s="49" t="s">
        <v>786</v>
      </c>
      <c r="C75" s="49" t="s">
        <v>787</v>
      </c>
      <c r="D75" s="81" t="s">
        <v>488</v>
      </c>
      <c r="E75" s="50" t="s">
        <v>632</v>
      </c>
      <c r="F75" s="60">
        <v>1052753931</v>
      </c>
      <c r="G75" s="62">
        <v>1</v>
      </c>
      <c r="H75" s="50" t="s">
        <v>838</v>
      </c>
      <c r="I75" s="33">
        <v>0</v>
      </c>
      <c r="J75" s="33">
        <v>4363</v>
      </c>
      <c r="K75" s="33">
        <f t="shared" si="1"/>
        <v>8726</v>
      </c>
      <c r="L75" s="51">
        <f>50000</f>
        <v>50000</v>
      </c>
      <c r="M75" s="52">
        <f>K75</f>
        <v>8726</v>
      </c>
      <c r="N75" s="53" t="s">
        <v>854</v>
      </c>
      <c r="O75" s="54" t="s">
        <v>863</v>
      </c>
      <c r="P75" s="50" t="s">
        <v>841</v>
      </c>
      <c r="Q75" s="8" t="str">
        <f t="shared" si="2"/>
        <v>하나은행 62191098199807</v>
      </c>
    </row>
    <row r="76" spans="1:17" s="7" customFormat="1" ht="24" customHeight="1" thickBot="1">
      <c r="A76" s="48">
        <f t="shared" si="0"/>
        <v>72</v>
      </c>
      <c r="B76" s="49" t="s">
        <v>786</v>
      </c>
      <c r="C76" s="49" t="s">
        <v>787</v>
      </c>
      <c r="D76" s="82" t="s">
        <v>489</v>
      </c>
      <c r="E76" s="50" t="s">
        <v>633</v>
      </c>
      <c r="F76" s="60" t="s">
        <v>547</v>
      </c>
      <c r="G76" s="120">
        <v>1</v>
      </c>
      <c r="H76" s="50"/>
      <c r="I76" s="33"/>
      <c r="J76" s="33"/>
      <c r="K76" s="33">
        <f t="shared" si="1"/>
        <v>0</v>
      </c>
      <c r="L76" s="51"/>
      <c r="M76" s="52"/>
      <c r="N76" s="53"/>
      <c r="O76" s="54"/>
      <c r="P76" s="50"/>
      <c r="Q76" s="8" t="str">
        <f t="shared" si="2"/>
        <v/>
      </c>
    </row>
    <row r="77" spans="1:17" s="7" customFormat="1" ht="24" customHeight="1" thickBot="1">
      <c r="A77" s="48">
        <f t="shared" si="0"/>
        <v>73</v>
      </c>
      <c r="B77" s="49" t="s">
        <v>739</v>
      </c>
      <c r="C77" s="49" t="s">
        <v>740</v>
      </c>
      <c r="D77" s="83" t="s">
        <v>490</v>
      </c>
      <c r="E77" s="50" t="s">
        <v>634</v>
      </c>
      <c r="F77" s="60" t="s">
        <v>635</v>
      </c>
      <c r="G77" s="83"/>
      <c r="H77" s="50"/>
      <c r="I77" s="33"/>
      <c r="J77" s="33"/>
      <c r="K77" s="33">
        <f t="shared" si="1"/>
        <v>0</v>
      </c>
      <c r="L77" s="51"/>
      <c r="M77" s="52"/>
      <c r="N77" s="53"/>
      <c r="O77" s="54"/>
      <c r="P77" s="50"/>
      <c r="Q77" s="8" t="str">
        <f t="shared" si="2"/>
        <v/>
      </c>
    </row>
    <row r="78" spans="1:17" s="7" customFormat="1" ht="24" customHeight="1">
      <c r="A78" s="48">
        <f t="shared" si="0"/>
        <v>74</v>
      </c>
      <c r="B78" s="49" t="s">
        <v>788</v>
      </c>
      <c r="C78" s="49" t="s">
        <v>789</v>
      </c>
      <c r="D78" s="84" t="s">
        <v>491</v>
      </c>
      <c r="E78" s="50" t="s">
        <v>636</v>
      </c>
      <c r="F78" s="60">
        <v>1094204324</v>
      </c>
      <c r="G78" s="62">
        <v>1</v>
      </c>
      <c r="H78" s="50" t="s">
        <v>838</v>
      </c>
      <c r="I78" s="33">
        <v>0</v>
      </c>
      <c r="J78" s="33">
        <v>3409</v>
      </c>
      <c r="K78" s="33">
        <f t="shared" si="1"/>
        <v>6818</v>
      </c>
      <c r="L78" s="51">
        <f>20000</f>
        <v>20000</v>
      </c>
      <c r="M78" s="52">
        <f>K78</f>
        <v>6818</v>
      </c>
      <c r="N78" s="53" t="s">
        <v>850</v>
      </c>
      <c r="O78" s="54" t="s">
        <v>866</v>
      </c>
      <c r="P78" s="50"/>
      <c r="Q78" s="8" t="str">
        <f t="shared" si="2"/>
        <v>신한은행 110219088340</v>
      </c>
    </row>
    <row r="79" spans="1:17" s="7" customFormat="1" ht="24" customHeight="1" thickBot="1">
      <c r="A79" s="48">
        <f t="shared" si="0"/>
        <v>75</v>
      </c>
      <c r="B79" s="49" t="s">
        <v>790</v>
      </c>
      <c r="C79" s="49" t="s">
        <v>791</v>
      </c>
      <c r="D79" s="85" t="s">
        <v>492</v>
      </c>
      <c r="E79" s="50" t="s">
        <v>637</v>
      </c>
      <c r="F79" s="60" t="s">
        <v>547</v>
      </c>
      <c r="G79" s="121">
        <v>1</v>
      </c>
      <c r="H79" s="50"/>
      <c r="I79" s="33"/>
      <c r="J79" s="33"/>
      <c r="K79" s="33">
        <f t="shared" si="1"/>
        <v>0</v>
      </c>
      <c r="L79" s="51"/>
      <c r="M79" s="52"/>
      <c r="N79" s="53"/>
      <c r="O79" s="54"/>
      <c r="P79" s="50"/>
      <c r="Q79" s="8" t="str">
        <f t="shared" si="2"/>
        <v/>
      </c>
    </row>
    <row r="80" spans="1:17" s="7" customFormat="1" ht="24" customHeight="1" thickBot="1">
      <c r="A80" s="48">
        <f t="shared" si="0"/>
        <v>76</v>
      </c>
      <c r="B80" s="55" t="s">
        <v>759</v>
      </c>
      <c r="C80" s="55" t="s">
        <v>760</v>
      </c>
      <c r="D80" s="83" t="s">
        <v>493</v>
      </c>
      <c r="E80" s="50" t="s">
        <v>638</v>
      </c>
      <c r="F80" s="60" t="s">
        <v>639</v>
      </c>
      <c r="G80" s="83">
        <v>1</v>
      </c>
      <c r="H80" s="50" t="s">
        <v>838</v>
      </c>
      <c r="I80" s="33">
        <v>0</v>
      </c>
      <c r="J80" s="33">
        <v>1279</v>
      </c>
      <c r="K80" s="33">
        <f t="shared" si="1"/>
        <v>2558</v>
      </c>
      <c r="L80" s="51">
        <f>103000</f>
        <v>103000</v>
      </c>
      <c r="M80" s="52">
        <f>K80</f>
        <v>2558</v>
      </c>
      <c r="N80" s="56" t="s">
        <v>890</v>
      </c>
      <c r="O80" s="54" t="s">
        <v>891</v>
      </c>
      <c r="P80" s="50"/>
      <c r="Q80" s="8" t="str">
        <f t="shared" si="2"/>
        <v>토스은행 100033101455</v>
      </c>
    </row>
    <row r="81" spans="1:17" s="7" customFormat="1" ht="24" customHeight="1">
      <c r="A81" s="48">
        <f t="shared" si="0"/>
        <v>77</v>
      </c>
      <c r="B81" s="49" t="s">
        <v>792</v>
      </c>
      <c r="C81" s="49" t="s">
        <v>793</v>
      </c>
      <c r="D81" s="86" t="s">
        <v>494</v>
      </c>
      <c r="E81" s="50" t="s">
        <v>640</v>
      </c>
      <c r="F81" s="60">
        <v>1053055137</v>
      </c>
      <c r="G81" s="122"/>
      <c r="H81" s="50" t="s">
        <v>836</v>
      </c>
      <c r="I81" s="33"/>
      <c r="J81" s="33"/>
      <c r="K81" s="33">
        <f t="shared" si="1"/>
        <v>0</v>
      </c>
      <c r="L81" s="51"/>
      <c r="M81" s="52"/>
      <c r="N81" s="53"/>
      <c r="O81" s="54"/>
      <c r="P81" s="50"/>
      <c r="Q81" s="8" t="str">
        <f t="shared" si="2"/>
        <v/>
      </c>
    </row>
    <row r="82" spans="1:17" s="7" customFormat="1" ht="24" customHeight="1" thickBot="1">
      <c r="A82" s="48">
        <f t="shared" si="0"/>
        <v>78</v>
      </c>
      <c r="B82" s="49" t="s">
        <v>792</v>
      </c>
      <c r="C82" s="49" t="s">
        <v>793</v>
      </c>
      <c r="D82" s="87" t="s">
        <v>495</v>
      </c>
      <c r="E82" s="50" t="s">
        <v>640</v>
      </c>
      <c r="F82" s="60" t="s">
        <v>547</v>
      </c>
      <c r="G82" s="123"/>
      <c r="H82" s="50" t="s">
        <v>836</v>
      </c>
      <c r="I82" s="33"/>
      <c r="J82" s="33"/>
      <c r="K82" s="33">
        <f t="shared" si="1"/>
        <v>0</v>
      </c>
      <c r="L82" s="51"/>
      <c r="M82" s="52"/>
      <c r="N82" s="53"/>
      <c r="O82" s="54"/>
      <c r="P82" s="50"/>
      <c r="Q82" s="8" t="str">
        <f t="shared" si="2"/>
        <v/>
      </c>
    </row>
    <row r="83" spans="1:17" s="7" customFormat="1" ht="24" customHeight="1">
      <c r="A83" s="48">
        <f t="shared" si="0"/>
        <v>79</v>
      </c>
      <c r="B83" s="49" t="s">
        <v>752</v>
      </c>
      <c r="C83" s="49" t="s">
        <v>753</v>
      </c>
      <c r="D83" s="76" t="s">
        <v>496</v>
      </c>
      <c r="E83" s="50" t="s">
        <v>641</v>
      </c>
      <c r="F83" s="60">
        <v>1055223597</v>
      </c>
      <c r="G83" s="76">
        <v>1</v>
      </c>
      <c r="H83" s="50" t="s">
        <v>849</v>
      </c>
      <c r="I83" s="33"/>
      <c r="J83" s="33"/>
      <c r="K83" s="33">
        <f t="shared" si="1"/>
        <v>0</v>
      </c>
      <c r="L83" s="51">
        <f>13400+13400</f>
        <v>26800</v>
      </c>
      <c r="M83" s="52">
        <f>L83</f>
        <v>26800</v>
      </c>
      <c r="N83" s="53" t="s">
        <v>883</v>
      </c>
      <c r="O83" s="54" t="s">
        <v>897</v>
      </c>
      <c r="P83" s="50"/>
      <c r="Q83" s="8" t="str">
        <f t="shared" si="2"/>
        <v>SC은행 12720091532</v>
      </c>
    </row>
    <row r="84" spans="1:17" s="7" customFormat="1" ht="24" customHeight="1" thickBot="1">
      <c r="A84" s="48">
        <f t="shared" si="0"/>
        <v>80</v>
      </c>
      <c r="B84" s="49" t="s">
        <v>794</v>
      </c>
      <c r="C84" s="49" t="s">
        <v>795</v>
      </c>
      <c r="D84" s="71" t="s">
        <v>497</v>
      </c>
      <c r="E84" s="50" t="s">
        <v>642</v>
      </c>
      <c r="F84" s="60">
        <v>1062396265</v>
      </c>
      <c r="G84" s="71"/>
      <c r="H84" s="50"/>
      <c r="I84" s="33"/>
      <c r="J84" s="33"/>
      <c r="K84" s="33">
        <f t="shared" si="1"/>
        <v>0</v>
      </c>
      <c r="L84" s="51"/>
      <c r="M84" s="52"/>
      <c r="N84" s="53"/>
      <c r="O84" s="54"/>
      <c r="P84" s="50"/>
      <c r="Q84" s="8" t="str">
        <f t="shared" si="2"/>
        <v/>
      </c>
    </row>
    <row r="85" spans="1:17" s="7" customFormat="1" ht="24" customHeight="1">
      <c r="A85" s="48">
        <f t="shared" si="0"/>
        <v>81</v>
      </c>
      <c r="B85" s="49" t="s">
        <v>796</v>
      </c>
      <c r="C85" s="49" t="s">
        <v>797</v>
      </c>
      <c r="D85" s="88" t="s">
        <v>498</v>
      </c>
      <c r="E85" s="50" t="s">
        <v>643</v>
      </c>
      <c r="F85" s="60">
        <v>1099273371</v>
      </c>
      <c r="G85" s="124"/>
      <c r="H85" s="50"/>
      <c r="I85" s="33"/>
      <c r="J85" s="33"/>
      <c r="K85" s="33">
        <f t="shared" si="1"/>
        <v>0</v>
      </c>
      <c r="L85" s="51"/>
      <c r="M85" s="52"/>
      <c r="N85" s="53"/>
      <c r="O85" s="54"/>
      <c r="P85" s="50"/>
      <c r="Q85" s="8" t="str">
        <f t="shared" si="2"/>
        <v/>
      </c>
    </row>
    <row r="86" spans="1:17" s="7" customFormat="1" ht="24" customHeight="1" thickBot="1">
      <c r="A86" s="48">
        <f t="shared" si="0"/>
        <v>82</v>
      </c>
      <c r="B86" s="49" t="s">
        <v>798</v>
      </c>
      <c r="C86" s="49" t="s">
        <v>799</v>
      </c>
      <c r="D86" s="89" t="s">
        <v>499</v>
      </c>
      <c r="E86" s="50" t="s">
        <v>644</v>
      </c>
      <c r="F86" s="60" t="s">
        <v>547</v>
      </c>
      <c r="G86" s="125"/>
      <c r="H86" s="50"/>
      <c r="I86" s="33"/>
      <c r="J86" s="33"/>
      <c r="K86" s="33">
        <f t="shared" si="1"/>
        <v>0</v>
      </c>
      <c r="L86" s="51"/>
      <c r="M86" s="52"/>
      <c r="N86" s="53"/>
      <c r="O86" s="54"/>
      <c r="P86" s="50"/>
      <c r="Q86" s="8" t="str">
        <f t="shared" si="2"/>
        <v/>
      </c>
    </row>
    <row r="87" spans="1:17" s="7" customFormat="1" ht="24" customHeight="1" thickBot="1">
      <c r="A87" s="48">
        <f t="shared" si="0"/>
        <v>83</v>
      </c>
      <c r="B87" s="49" t="s">
        <v>697</v>
      </c>
      <c r="C87" s="49" t="s">
        <v>698</v>
      </c>
      <c r="D87" s="83" t="s">
        <v>500</v>
      </c>
      <c r="E87" s="50" t="s">
        <v>544</v>
      </c>
      <c r="F87" s="60">
        <v>1089212575</v>
      </c>
      <c r="G87" s="83"/>
      <c r="H87" s="50"/>
      <c r="I87" s="33"/>
      <c r="J87" s="33"/>
      <c r="K87" s="33">
        <f t="shared" si="1"/>
        <v>0</v>
      </c>
      <c r="L87" s="51"/>
      <c r="M87" s="52"/>
      <c r="N87" s="53"/>
      <c r="O87" s="54"/>
      <c r="P87" s="50"/>
      <c r="Q87" s="8" t="str">
        <f t="shared" si="2"/>
        <v/>
      </c>
    </row>
    <row r="88" spans="1:17" s="7" customFormat="1" ht="24" customHeight="1">
      <c r="A88" s="48">
        <f t="shared" si="0"/>
        <v>84</v>
      </c>
      <c r="B88" s="49" t="s">
        <v>800</v>
      </c>
      <c r="C88" s="49" t="s">
        <v>801</v>
      </c>
      <c r="D88" s="90" t="s">
        <v>501</v>
      </c>
      <c r="E88" s="50" t="s">
        <v>645</v>
      </c>
      <c r="F88" s="60" t="s">
        <v>646</v>
      </c>
      <c r="G88" s="126">
        <v>1</v>
      </c>
      <c r="H88" s="50"/>
      <c r="I88" s="33"/>
      <c r="J88" s="33"/>
      <c r="K88" s="33">
        <f t="shared" si="1"/>
        <v>0</v>
      </c>
      <c r="L88" s="51"/>
      <c r="M88" s="52"/>
      <c r="N88" s="53"/>
      <c r="O88" s="54"/>
      <c r="P88" s="50"/>
      <c r="Q88" s="8" t="str">
        <f t="shared" si="2"/>
        <v/>
      </c>
    </row>
    <row r="89" spans="1:17" s="7" customFormat="1" ht="24" customHeight="1" thickBot="1">
      <c r="A89" s="48">
        <f t="shared" si="0"/>
        <v>85</v>
      </c>
      <c r="B89" s="49" t="s">
        <v>802</v>
      </c>
      <c r="C89" s="49" t="s">
        <v>803</v>
      </c>
      <c r="D89" s="91" t="s">
        <v>502</v>
      </c>
      <c r="E89" s="50" t="s">
        <v>647</v>
      </c>
      <c r="F89" s="60" t="s">
        <v>648</v>
      </c>
      <c r="G89" s="62">
        <v>1</v>
      </c>
      <c r="H89" s="50" t="s">
        <v>837</v>
      </c>
      <c r="I89" s="33">
        <v>0</v>
      </c>
      <c r="J89" s="33">
        <v>3965</v>
      </c>
      <c r="K89" s="33">
        <f t="shared" si="1"/>
        <v>7930</v>
      </c>
      <c r="L89" s="51">
        <v>73095</v>
      </c>
      <c r="M89" s="52">
        <f>K89</f>
        <v>7930</v>
      </c>
      <c r="N89" s="53" t="s">
        <v>221</v>
      </c>
      <c r="O89" s="54" t="s">
        <v>857</v>
      </c>
      <c r="P89" s="50" t="s">
        <v>867</v>
      </c>
      <c r="Q89" s="8" t="str">
        <f t="shared" si="2"/>
        <v>하나은행 28791057523207</v>
      </c>
    </row>
    <row r="90" spans="1:17" s="7" customFormat="1" ht="24" customHeight="1" thickBot="1">
      <c r="A90" s="48">
        <f t="shared" si="0"/>
        <v>86</v>
      </c>
      <c r="B90" s="55" t="s">
        <v>804</v>
      </c>
      <c r="C90" s="55" t="s">
        <v>805</v>
      </c>
      <c r="D90" s="83" t="s">
        <v>503</v>
      </c>
      <c r="E90" s="50" t="s">
        <v>649</v>
      </c>
      <c r="F90" s="60">
        <v>1028585915</v>
      </c>
      <c r="G90" s="62">
        <v>1</v>
      </c>
      <c r="H90" s="50" t="s">
        <v>838</v>
      </c>
      <c r="I90" s="33">
        <v>0</v>
      </c>
      <c r="J90" s="33">
        <v>1997</v>
      </c>
      <c r="K90" s="33">
        <f t="shared" si="1"/>
        <v>3994</v>
      </c>
      <c r="L90" s="51">
        <f>106000</f>
        <v>106000</v>
      </c>
      <c r="M90" s="52">
        <f>K90</f>
        <v>3994</v>
      </c>
      <c r="N90" s="53" t="s">
        <v>850</v>
      </c>
      <c r="O90" s="54" t="s">
        <v>873</v>
      </c>
      <c r="P90" s="50"/>
      <c r="Q90" s="8" t="str">
        <f t="shared" si="2"/>
        <v>신한은행 35904313230</v>
      </c>
    </row>
    <row r="91" spans="1:17" s="7" customFormat="1" ht="24" customHeight="1">
      <c r="A91" s="48">
        <f t="shared" si="0"/>
        <v>87</v>
      </c>
      <c r="B91" s="49" t="s">
        <v>806</v>
      </c>
      <c r="C91" s="49" t="s">
        <v>807</v>
      </c>
      <c r="D91" s="92" t="s">
        <v>504</v>
      </c>
      <c r="E91" s="50" t="s">
        <v>650</v>
      </c>
      <c r="F91" s="60" t="s">
        <v>651</v>
      </c>
      <c r="G91" s="62">
        <v>1</v>
      </c>
      <c r="H91" s="50" t="s">
        <v>836</v>
      </c>
      <c r="I91" s="33"/>
      <c r="J91" s="33"/>
      <c r="K91" s="33">
        <f t="shared" si="1"/>
        <v>0</v>
      </c>
      <c r="L91" s="51"/>
      <c r="M91" s="52"/>
      <c r="N91" s="53"/>
      <c r="O91" s="54"/>
      <c r="P91" s="50"/>
      <c r="Q91" s="8" t="str">
        <f t="shared" si="2"/>
        <v/>
      </c>
    </row>
    <row r="92" spans="1:17" s="7" customFormat="1" ht="24" customHeight="1" thickBot="1">
      <c r="A92" s="48">
        <f t="shared" si="0"/>
        <v>88</v>
      </c>
      <c r="B92" s="49" t="s">
        <v>808</v>
      </c>
      <c r="C92" s="49" t="s">
        <v>809</v>
      </c>
      <c r="D92" s="93" t="s">
        <v>505</v>
      </c>
      <c r="E92" s="50" t="s">
        <v>652</v>
      </c>
      <c r="F92" s="60" t="s">
        <v>547</v>
      </c>
      <c r="G92" s="127">
        <v>1</v>
      </c>
      <c r="H92" s="50" t="s">
        <v>836</v>
      </c>
      <c r="I92" s="33"/>
      <c r="J92" s="33"/>
      <c r="K92" s="33">
        <f t="shared" si="1"/>
        <v>0</v>
      </c>
      <c r="L92" s="51"/>
      <c r="M92" s="52"/>
      <c r="N92" s="53"/>
      <c r="O92" s="54"/>
      <c r="P92" s="50"/>
      <c r="Q92" s="8" t="str">
        <f t="shared" si="2"/>
        <v/>
      </c>
    </row>
    <row r="93" spans="1:17" s="7" customFormat="1" ht="24" customHeight="1">
      <c r="A93" s="48">
        <f t="shared" si="0"/>
        <v>89</v>
      </c>
      <c r="B93" s="49" t="s">
        <v>810</v>
      </c>
      <c r="C93" s="49" t="s">
        <v>811</v>
      </c>
      <c r="D93" s="76" t="s">
        <v>506</v>
      </c>
      <c r="E93" s="50" t="s">
        <v>653</v>
      </c>
      <c r="F93" s="60" t="s">
        <v>654</v>
      </c>
      <c r="G93" s="76"/>
      <c r="H93" s="50"/>
      <c r="I93" s="33"/>
      <c r="J93" s="33"/>
      <c r="K93" s="33">
        <f t="shared" si="1"/>
        <v>0</v>
      </c>
      <c r="L93" s="51"/>
      <c r="M93" s="52"/>
      <c r="N93" s="53"/>
      <c r="O93" s="54"/>
      <c r="P93" s="50"/>
      <c r="Q93" s="8" t="str">
        <f t="shared" si="2"/>
        <v/>
      </c>
    </row>
    <row r="94" spans="1:17" s="7" customFormat="1" ht="24" customHeight="1">
      <c r="A94" s="48">
        <f t="shared" si="0"/>
        <v>90</v>
      </c>
      <c r="B94" s="49" t="s">
        <v>812</v>
      </c>
      <c r="C94" s="49" t="s">
        <v>813</v>
      </c>
      <c r="D94" s="70" t="s">
        <v>507</v>
      </c>
      <c r="E94" s="50" t="s">
        <v>655</v>
      </c>
      <c r="F94" s="60">
        <v>1052125985</v>
      </c>
      <c r="G94" s="70"/>
      <c r="H94" s="50" t="s">
        <v>849</v>
      </c>
      <c r="I94" s="33"/>
      <c r="J94" s="33"/>
      <c r="K94" s="33">
        <f t="shared" si="1"/>
        <v>0</v>
      </c>
      <c r="L94" s="51">
        <f>77000+72000+25200</f>
        <v>174200</v>
      </c>
      <c r="M94" s="52">
        <f>L94</f>
        <v>174200</v>
      </c>
      <c r="N94" s="53" t="s">
        <v>894</v>
      </c>
      <c r="O94" s="54" t="s">
        <v>895</v>
      </c>
      <c r="P94" s="50"/>
      <c r="Q94" s="8" t="str">
        <f t="shared" si="2"/>
        <v>국민은행 223210440544</v>
      </c>
    </row>
    <row r="95" spans="1:17" s="7" customFormat="1" ht="24" customHeight="1">
      <c r="A95" s="48">
        <f t="shared" si="0"/>
        <v>91</v>
      </c>
      <c r="B95" s="49" t="s">
        <v>814</v>
      </c>
      <c r="C95" s="49" t="s">
        <v>815</v>
      </c>
      <c r="D95" s="70" t="s">
        <v>508</v>
      </c>
      <c r="E95" s="50" t="s">
        <v>656</v>
      </c>
      <c r="F95" s="60">
        <v>1090725398</v>
      </c>
      <c r="G95" s="62">
        <v>1</v>
      </c>
      <c r="H95" s="50" t="s">
        <v>849</v>
      </c>
      <c r="I95" s="33"/>
      <c r="J95" s="33"/>
      <c r="K95" s="33">
        <f t="shared" si="1"/>
        <v>0</v>
      </c>
      <c r="L95" s="51">
        <f>15500+15100</f>
        <v>30600</v>
      </c>
      <c r="M95" s="52">
        <f>L95</f>
        <v>30600</v>
      </c>
      <c r="N95" s="53" t="s">
        <v>854</v>
      </c>
      <c r="O95" s="54" t="s">
        <v>864</v>
      </c>
      <c r="P95" s="50"/>
      <c r="Q95" s="8" t="str">
        <f t="shared" si="2"/>
        <v>하나은행 13891045235107</v>
      </c>
    </row>
    <row r="96" spans="1:17" s="7" customFormat="1" ht="24" customHeight="1">
      <c r="A96" s="48">
        <f t="shared" si="0"/>
        <v>92</v>
      </c>
      <c r="B96" s="49" t="s">
        <v>752</v>
      </c>
      <c r="C96" s="49" t="s">
        <v>753</v>
      </c>
      <c r="D96" s="70" t="s">
        <v>509</v>
      </c>
      <c r="E96" s="50" t="s">
        <v>657</v>
      </c>
      <c r="F96" s="60">
        <v>1033625603</v>
      </c>
      <c r="G96" s="70"/>
      <c r="H96" s="50"/>
      <c r="I96" s="33"/>
      <c r="J96" s="33"/>
      <c r="K96" s="33">
        <f t="shared" si="1"/>
        <v>0</v>
      </c>
      <c r="L96" s="51"/>
      <c r="M96" s="52"/>
      <c r="N96" s="53"/>
      <c r="O96" s="54"/>
      <c r="P96" s="50"/>
      <c r="Q96" s="8" t="str">
        <f t="shared" si="2"/>
        <v/>
      </c>
    </row>
    <row r="97" spans="1:17" s="7" customFormat="1" ht="24" customHeight="1" thickBot="1">
      <c r="A97" s="48">
        <f t="shared" si="0"/>
        <v>93</v>
      </c>
      <c r="B97" s="49" t="s">
        <v>804</v>
      </c>
      <c r="C97" s="49" t="s">
        <v>805</v>
      </c>
      <c r="D97" s="71" t="s">
        <v>510</v>
      </c>
      <c r="E97" s="50" t="s">
        <v>649</v>
      </c>
      <c r="F97" s="60" t="s">
        <v>658</v>
      </c>
      <c r="G97" s="71"/>
      <c r="H97" s="50"/>
      <c r="I97" s="33"/>
      <c r="J97" s="33"/>
      <c r="K97" s="33">
        <f t="shared" si="1"/>
        <v>0</v>
      </c>
      <c r="L97" s="51"/>
      <c r="M97" s="52"/>
      <c r="N97" s="53"/>
      <c r="O97" s="54"/>
      <c r="P97" s="50"/>
      <c r="Q97" s="8" t="str">
        <f t="shared" si="2"/>
        <v/>
      </c>
    </row>
    <row r="98" spans="1:17" s="7" customFormat="1" ht="24" customHeight="1">
      <c r="A98" s="48">
        <f t="shared" si="0"/>
        <v>94</v>
      </c>
      <c r="B98" s="49" t="s">
        <v>759</v>
      </c>
      <c r="C98" s="49" t="s">
        <v>760</v>
      </c>
      <c r="D98" s="94" t="s">
        <v>511</v>
      </c>
      <c r="E98" s="50" t="s">
        <v>659</v>
      </c>
      <c r="F98" s="60">
        <v>1095060618</v>
      </c>
      <c r="G98" s="128">
        <v>1</v>
      </c>
      <c r="H98" s="50" t="s">
        <v>849</v>
      </c>
      <c r="I98" s="33"/>
      <c r="J98" s="33"/>
      <c r="K98" s="33">
        <f t="shared" si="1"/>
        <v>0</v>
      </c>
      <c r="L98" s="51">
        <f>11300+10800</f>
        <v>22100</v>
      </c>
      <c r="M98" s="52">
        <f>L98</f>
        <v>22100</v>
      </c>
      <c r="N98" s="53" t="s">
        <v>883</v>
      </c>
      <c r="O98" s="54" t="s">
        <v>884</v>
      </c>
      <c r="P98" s="50"/>
      <c r="Q98" s="8" t="str">
        <f t="shared" ref="Q98:Q114" si="3">CONCATENATE(N98,IF(O98&lt;&gt;"","은행 "&amp;O98,""))</f>
        <v>SC은행 43820501158</v>
      </c>
    </row>
    <row r="99" spans="1:17" s="7" customFormat="1" ht="24" customHeight="1" thickBot="1">
      <c r="A99" s="48">
        <f t="shared" si="0"/>
        <v>95</v>
      </c>
      <c r="B99" s="49" t="s">
        <v>816</v>
      </c>
      <c r="C99" s="49">
        <v>1047697661</v>
      </c>
      <c r="D99" s="95" t="s">
        <v>512</v>
      </c>
      <c r="E99" s="50" t="s">
        <v>660</v>
      </c>
      <c r="F99" s="60">
        <v>1099054512</v>
      </c>
      <c r="G99" s="62">
        <v>1</v>
      </c>
      <c r="H99" s="50" t="s">
        <v>838</v>
      </c>
      <c r="I99" s="33">
        <v>2500</v>
      </c>
      <c r="J99" s="33">
        <v>5015</v>
      </c>
      <c r="K99" s="33">
        <f t="shared" ref="K99:K114" si="4">SUM(I99*2)+(J99*2)</f>
        <v>15030</v>
      </c>
      <c r="L99" s="51">
        <v>70000</v>
      </c>
      <c r="M99" s="52">
        <f>K99</f>
        <v>15030</v>
      </c>
      <c r="N99" s="53" t="s">
        <v>869</v>
      </c>
      <c r="O99" s="54" t="s">
        <v>870</v>
      </c>
      <c r="P99" s="50" t="s">
        <v>885</v>
      </c>
      <c r="Q99" s="8" t="str">
        <f t="shared" si="3"/>
        <v>토스은행 100062614088</v>
      </c>
    </row>
    <row r="100" spans="1:17" s="7" customFormat="1" ht="24" customHeight="1" thickBot="1">
      <c r="A100" s="48">
        <f t="shared" si="0"/>
        <v>96</v>
      </c>
      <c r="B100" s="55" t="s">
        <v>723</v>
      </c>
      <c r="C100" s="55" t="s">
        <v>724</v>
      </c>
      <c r="D100" s="83" t="s">
        <v>513</v>
      </c>
      <c r="E100" s="50" t="s">
        <v>661</v>
      </c>
      <c r="F100" s="60" t="s">
        <v>662</v>
      </c>
      <c r="G100" s="62">
        <v>1</v>
      </c>
      <c r="H100" s="50" t="s">
        <v>838</v>
      </c>
      <c r="I100" s="33">
        <v>0</v>
      </c>
      <c r="J100" s="33">
        <v>3354</v>
      </c>
      <c r="K100" s="33">
        <f t="shared" si="4"/>
        <v>6708</v>
      </c>
      <c r="L100" s="51">
        <f>30000</f>
        <v>30000</v>
      </c>
      <c r="M100" s="52">
        <f>K100</f>
        <v>6708</v>
      </c>
      <c r="N100" s="53" t="s">
        <v>846</v>
      </c>
      <c r="O100" s="54" t="s">
        <v>852</v>
      </c>
      <c r="P100" s="50" t="s">
        <v>841</v>
      </c>
      <c r="Q100" s="8" t="str">
        <f t="shared" si="3"/>
        <v>우리은행 1002647927740</v>
      </c>
    </row>
    <row r="101" spans="1:17" s="7" customFormat="1" ht="24" customHeight="1">
      <c r="A101" s="48">
        <f t="shared" si="0"/>
        <v>97</v>
      </c>
      <c r="B101" s="49" t="s">
        <v>800</v>
      </c>
      <c r="C101" s="49" t="s">
        <v>801</v>
      </c>
      <c r="D101" s="96" t="s">
        <v>514</v>
      </c>
      <c r="E101" s="50" t="s">
        <v>663</v>
      </c>
      <c r="F101" s="60">
        <v>1031125584</v>
      </c>
      <c r="G101" s="62">
        <v>1</v>
      </c>
      <c r="H101" s="50" t="s">
        <v>838</v>
      </c>
      <c r="I101" s="33">
        <v>0</v>
      </c>
      <c r="J101" s="33">
        <v>4031</v>
      </c>
      <c r="K101" s="33">
        <f t="shared" si="4"/>
        <v>8062</v>
      </c>
      <c r="L101" s="51">
        <f>60000</f>
        <v>60000</v>
      </c>
      <c r="M101" s="52">
        <f>K101</f>
        <v>8062</v>
      </c>
      <c r="N101" s="53" t="s">
        <v>854</v>
      </c>
      <c r="O101" s="54" t="s">
        <v>856</v>
      </c>
      <c r="P101" s="50" t="s">
        <v>841</v>
      </c>
      <c r="Q101" s="8" t="str">
        <f t="shared" si="3"/>
        <v>하나은행 16291000409304</v>
      </c>
    </row>
    <row r="102" spans="1:17" s="7" customFormat="1" ht="24" customHeight="1" thickBot="1">
      <c r="A102" s="48">
        <f t="shared" si="0"/>
        <v>98</v>
      </c>
      <c r="B102" s="49" t="s">
        <v>800</v>
      </c>
      <c r="C102" s="49" t="s">
        <v>801</v>
      </c>
      <c r="D102" s="97" t="s">
        <v>515</v>
      </c>
      <c r="E102" s="50" t="s">
        <v>664</v>
      </c>
      <c r="F102" s="60" t="s">
        <v>547</v>
      </c>
      <c r="G102" s="129">
        <v>1</v>
      </c>
      <c r="H102" s="50"/>
      <c r="I102" s="33"/>
      <c r="J102" s="33"/>
      <c r="K102" s="33">
        <f t="shared" si="4"/>
        <v>0</v>
      </c>
      <c r="L102" s="51"/>
      <c r="M102" s="52"/>
      <c r="N102" s="53"/>
      <c r="O102" s="54"/>
      <c r="P102" s="50"/>
      <c r="Q102" s="8" t="str">
        <f t="shared" si="3"/>
        <v/>
      </c>
    </row>
    <row r="103" spans="1:17" s="7" customFormat="1" ht="24" customHeight="1">
      <c r="A103" s="48">
        <f t="shared" si="0"/>
        <v>99</v>
      </c>
      <c r="B103" s="49" t="s">
        <v>729</v>
      </c>
      <c r="C103" s="49" t="s">
        <v>730</v>
      </c>
      <c r="D103" s="76" t="s">
        <v>516</v>
      </c>
      <c r="E103" s="50" t="s">
        <v>572</v>
      </c>
      <c r="F103" s="60">
        <v>1072621905</v>
      </c>
      <c r="G103" s="76"/>
      <c r="H103" s="50"/>
      <c r="I103" s="33"/>
      <c r="J103" s="33"/>
      <c r="K103" s="33">
        <f t="shared" si="4"/>
        <v>0</v>
      </c>
      <c r="L103" s="51"/>
      <c r="M103" s="52"/>
      <c r="N103" s="53"/>
      <c r="O103" s="54"/>
      <c r="P103" s="50" t="s">
        <v>880</v>
      </c>
      <c r="Q103" s="8" t="str">
        <f t="shared" si="3"/>
        <v/>
      </c>
    </row>
    <row r="104" spans="1:17" s="7" customFormat="1" ht="24" customHeight="1">
      <c r="A104" s="48">
        <f t="shared" si="0"/>
        <v>100</v>
      </c>
      <c r="B104" s="49" t="s">
        <v>817</v>
      </c>
      <c r="C104" s="49" t="s">
        <v>818</v>
      </c>
      <c r="D104" s="70" t="s">
        <v>517</v>
      </c>
      <c r="E104" s="50" t="s">
        <v>665</v>
      </c>
      <c r="F104" s="60" t="s">
        <v>666</v>
      </c>
      <c r="G104" s="62">
        <v>1</v>
      </c>
      <c r="H104" s="50" t="s">
        <v>879</v>
      </c>
      <c r="I104" s="33">
        <v>21000</v>
      </c>
      <c r="J104" s="33">
        <v>65648</v>
      </c>
      <c r="K104" s="33">
        <f t="shared" si="4"/>
        <v>173296</v>
      </c>
      <c r="L104" s="51">
        <f>26990+35135+48546+2450+11480+6090+7770+2000</f>
        <v>140461</v>
      </c>
      <c r="M104" s="52">
        <f>L104</f>
        <v>140461</v>
      </c>
      <c r="N104" s="53" t="s">
        <v>881</v>
      </c>
      <c r="O104" s="54" t="s">
        <v>882</v>
      </c>
      <c r="P104" s="50"/>
      <c r="Q104" s="8" t="str">
        <f t="shared" si="3"/>
        <v>새마을은행 9003280891336</v>
      </c>
    </row>
    <row r="105" spans="1:17" s="7" customFormat="1" ht="24" customHeight="1" thickBot="1">
      <c r="A105" s="48">
        <f t="shared" si="0"/>
        <v>101</v>
      </c>
      <c r="B105" s="55" t="s">
        <v>819</v>
      </c>
      <c r="C105" s="55" t="s">
        <v>820</v>
      </c>
      <c r="D105" s="71" t="s">
        <v>518</v>
      </c>
      <c r="E105" s="50" t="s">
        <v>667</v>
      </c>
      <c r="F105" s="60">
        <v>1092193997</v>
      </c>
      <c r="G105" s="71"/>
      <c r="H105" s="50"/>
      <c r="I105" s="33"/>
      <c r="J105" s="33"/>
      <c r="K105" s="33">
        <f t="shared" si="4"/>
        <v>0</v>
      </c>
      <c r="L105" s="51"/>
      <c r="M105" s="52"/>
      <c r="N105" s="53"/>
      <c r="O105" s="58"/>
      <c r="P105" s="50"/>
      <c r="Q105" s="8" t="str">
        <f t="shared" si="3"/>
        <v/>
      </c>
    </row>
    <row r="106" spans="1:17" s="7" customFormat="1" ht="24" customHeight="1">
      <c r="A106" s="48">
        <f t="shared" si="0"/>
        <v>102</v>
      </c>
      <c r="B106" s="49" t="s">
        <v>786</v>
      </c>
      <c r="C106" s="49" t="s">
        <v>787</v>
      </c>
      <c r="D106" s="98" t="s">
        <v>519</v>
      </c>
      <c r="E106" s="50" t="s">
        <v>668</v>
      </c>
      <c r="F106" s="60" t="s">
        <v>669</v>
      </c>
      <c r="G106" s="130"/>
      <c r="H106" s="50"/>
      <c r="I106" s="33"/>
      <c r="J106" s="33"/>
      <c r="K106" s="33">
        <f t="shared" si="4"/>
        <v>0</v>
      </c>
      <c r="L106" s="51"/>
      <c r="M106" s="52"/>
      <c r="N106" s="53"/>
      <c r="O106" s="54"/>
      <c r="P106" s="50"/>
      <c r="Q106" s="8" t="str">
        <f t="shared" si="3"/>
        <v/>
      </c>
    </row>
    <row r="107" spans="1:17" s="7" customFormat="1" ht="24" customHeight="1" thickBot="1">
      <c r="A107" s="48">
        <f t="shared" si="0"/>
        <v>103</v>
      </c>
      <c r="B107" s="49" t="s">
        <v>786</v>
      </c>
      <c r="C107" s="49" t="s">
        <v>787</v>
      </c>
      <c r="D107" s="99" t="s">
        <v>520</v>
      </c>
      <c r="E107" s="50" t="s">
        <v>668</v>
      </c>
      <c r="F107" s="60" t="s">
        <v>547</v>
      </c>
      <c r="G107" s="131"/>
      <c r="H107" s="50"/>
      <c r="I107" s="33"/>
      <c r="J107" s="33"/>
      <c r="K107" s="33">
        <f t="shared" si="4"/>
        <v>0</v>
      </c>
      <c r="L107" s="51"/>
      <c r="M107" s="52"/>
      <c r="N107" s="53"/>
      <c r="O107" s="54"/>
      <c r="P107" s="50"/>
      <c r="Q107" s="8" t="str">
        <f t="shared" si="3"/>
        <v/>
      </c>
    </row>
    <row r="108" spans="1:17" s="7" customFormat="1" ht="24" customHeight="1" thickBot="1">
      <c r="A108" s="48">
        <f t="shared" si="0"/>
        <v>104</v>
      </c>
      <c r="B108" s="49" t="s">
        <v>821</v>
      </c>
      <c r="C108" s="49" t="s">
        <v>822</v>
      </c>
      <c r="D108" s="83" t="s">
        <v>521</v>
      </c>
      <c r="E108" s="50" t="s">
        <v>670</v>
      </c>
      <c r="F108" s="60" t="s">
        <v>671</v>
      </c>
      <c r="G108" s="62">
        <v>1</v>
      </c>
      <c r="H108" s="50" t="s">
        <v>838</v>
      </c>
      <c r="I108" s="33">
        <v>0</v>
      </c>
      <c r="J108" s="33">
        <v>3673</v>
      </c>
      <c r="K108" s="33">
        <f t="shared" si="4"/>
        <v>7346</v>
      </c>
      <c r="L108" s="51">
        <f>50000</f>
        <v>50000</v>
      </c>
      <c r="M108" s="52">
        <f>K108</f>
        <v>7346</v>
      </c>
      <c r="N108" s="53" t="s">
        <v>846</v>
      </c>
      <c r="O108" s="54" t="s">
        <v>868</v>
      </c>
      <c r="P108" s="50"/>
      <c r="Q108" s="8" t="str">
        <f t="shared" si="3"/>
        <v>우리은행 28500381102103</v>
      </c>
    </row>
    <row r="109" spans="1:17" s="7" customFormat="1" ht="24" customHeight="1">
      <c r="A109" s="48">
        <f t="shared" si="0"/>
        <v>105</v>
      </c>
      <c r="B109" s="49" t="s">
        <v>823</v>
      </c>
      <c r="C109" s="49" t="s">
        <v>824</v>
      </c>
      <c r="D109" s="100" t="s">
        <v>522</v>
      </c>
      <c r="E109" s="50" t="s">
        <v>672</v>
      </c>
      <c r="F109" s="60" t="s">
        <v>547</v>
      </c>
      <c r="G109" s="132">
        <v>1</v>
      </c>
      <c r="H109" s="50"/>
      <c r="I109" s="33"/>
      <c r="J109" s="33"/>
      <c r="K109" s="33">
        <f t="shared" si="4"/>
        <v>0</v>
      </c>
      <c r="L109" s="51"/>
      <c r="M109" s="52"/>
      <c r="N109" s="53"/>
      <c r="O109" s="54"/>
      <c r="P109" s="50"/>
      <c r="Q109" s="8" t="str">
        <f t="shared" si="3"/>
        <v/>
      </c>
    </row>
    <row r="110" spans="1:17" s="7" customFormat="1" ht="24" customHeight="1" thickBot="1">
      <c r="A110" s="48">
        <f t="shared" si="0"/>
        <v>106</v>
      </c>
      <c r="B110" s="49" t="s">
        <v>823</v>
      </c>
      <c r="C110" s="49" t="s">
        <v>824</v>
      </c>
      <c r="D110" s="101" t="s">
        <v>523</v>
      </c>
      <c r="E110" s="50" t="s">
        <v>672</v>
      </c>
      <c r="F110" s="60" t="s">
        <v>673</v>
      </c>
      <c r="G110" s="133">
        <v>1</v>
      </c>
      <c r="H110" s="50" t="s">
        <v>838</v>
      </c>
      <c r="I110" s="33">
        <v>0</v>
      </c>
      <c r="J110" s="33">
        <v>3209</v>
      </c>
      <c r="K110" s="33">
        <f t="shared" si="4"/>
        <v>6418</v>
      </c>
      <c r="L110" s="51">
        <v>102986</v>
      </c>
      <c r="M110" s="52">
        <f>K110</f>
        <v>6418</v>
      </c>
      <c r="N110" s="53" t="s">
        <v>892</v>
      </c>
      <c r="O110" s="54" t="s">
        <v>893</v>
      </c>
      <c r="P110" s="50"/>
      <c r="Q110" s="8" t="str">
        <f t="shared" si="3"/>
        <v>신한은행 110262629559</v>
      </c>
    </row>
    <row r="111" spans="1:17" s="7" customFormat="1" ht="24" customHeight="1">
      <c r="A111" s="48">
        <f t="shared" si="0"/>
        <v>107</v>
      </c>
      <c r="B111" s="49" t="s">
        <v>825</v>
      </c>
      <c r="C111" s="49" t="s">
        <v>826</v>
      </c>
      <c r="D111" s="102" t="s">
        <v>524</v>
      </c>
      <c r="E111" s="50" t="s">
        <v>674</v>
      </c>
      <c r="F111" s="60">
        <v>1055775487</v>
      </c>
      <c r="G111" s="134"/>
      <c r="H111" s="50"/>
      <c r="I111" s="33"/>
      <c r="J111" s="33"/>
      <c r="K111" s="33">
        <f t="shared" si="4"/>
        <v>0</v>
      </c>
      <c r="L111" s="51"/>
      <c r="M111" s="52"/>
      <c r="N111" s="53"/>
      <c r="O111" s="54"/>
      <c r="P111" s="50"/>
      <c r="Q111" s="8" t="str">
        <f t="shared" si="3"/>
        <v/>
      </c>
    </row>
    <row r="112" spans="1:17" s="7" customFormat="1" ht="24" customHeight="1" thickBot="1">
      <c r="A112" s="48">
        <f t="shared" si="0"/>
        <v>108</v>
      </c>
      <c r="B112" s="49" t="s">
        <v>827</v>
      </c>
      <c r="C112" s="49" t="s">
        <v>828</v>
      </c>
      <c r="D112" s="103" t="s">
        <v>525</v>
      </c>
      <c r="E112" s="50" t="s">
        <v>675</v>
      </c>
      <c r="F112" s="60" t="s">
        <v>547</v>
      </c>
      <c r="G112" s="135">
        <v>1</v>
      </c>
      <c r="H112" s="50"/>
      <c r="I112" s="33"/>
      <c r="J112" s="33"/>
      <c r="K112" s="33">
        <f t="shared" si="4"/>
        <v>0</v>
      </c>
      <c r="L112" s="51"/>
      <c r="M112" s="52"/>
      <c r="N112" s="53"/>
      <c r="O112" s="54"/>
      <c r="P112" s="50"/>
      <c r="Q112" s="8" t="str">
        <f t="shared" si="3"/>
        <v/>
      </c>
    </row>
    <row r="113" spans="1:25" s="7" customFormat="1" ht="24" customHeight="1">
      <c r="A113" s="48">
        <f t="shared" si="0"/>
        <v>109</v>
      </c>
      <c r="B113" s="49" t="s">
        <v>829</v>
      </c>
      <c r="C113" s="49" t="s">
        <v>830</v>
      </c>
      <c r="D113" s="76" t="s">
        <v>526</v>
      </c>
      <c r="E113" s="50" t="s">
        <v>676</v>
      </c>
      <c r="F113" s="60">
        <v>1042479413</v>
      </c>
      <c r="G113" s="76"/>
      <c r="H113" s="50"/>
      <c r="I113" s="33"/>
      <c r="J113" s="33"/>
      <c r="K113" s="33">
        <f t="shared" si="4"/>
        <v>0</v>
      </c>
      <c r="L113" s="51"/>
      <c r="M113" s="52"/>
      <c r="N113" s="53"/>
      <c r="O113" s="54"/>
      <c r="P113" s="50"/>
      <c r="Q113" s="8" t="str">
        <f t="shared" si="3"/>
        <v/>
      </c>
    </row>
    <row r="114" spans="1:25" s="7" customFormat="1" ht="24" customHeight="1">
      <c r="A114" s="48">
        <f t="shared" si="0"/>
        <v>110</v>
      </c>
      <c r="B114" s="55" t="s">
        <v>831</v>
      </c>
      <c r="C114" s="55" t="s">
        <v>832</v>
      </c>
      <c r="D114" s="70" t="s">
        <v>527</v>
      </c>
      <c r="E114" s="50" t="s">
        <v>677</v>
      </c>
      <c r="F114" s="60" t="s">
        <v>678</v>
      </c>
      <c r="G114" s="70">
        <v>1</v>
      </c>
      <c r="H114" s="50" t="s">
        <v>849</v>
      </c>
      <c r="I114" s="33"/>
      <c r="J114" s="33"/>
      <c r="K114" s="33">
        <f t="shared" si="4"/>
        <v>0</v>
      </c>
      <c r="L114" s="51">
        <f>16300+8200</f>
        <v>24500</v>
      </c>
      <c r="M114" s="52">
        <f>L114</f>
        <v>24500</v>
      </c>
      <c r="N114" s="53" t="s">
        <v>914</v>
      </c>
      <c r="O114" s="54" t="s">
        <v>915</v>
      </c>
      <c r="P114" s="50" t="s">
        <v>903</v>
      </c>
      <c r="Q114" s="8" t="str">
        <f t="shared" si="3"/>
        <v>우리은행 48505597303001</v>
      </c>
    </row>
    <row r="115" spans="1:25" s="9" customFormat="1" ht="18" thickBot="1">
      <c r="A115" s="40"/>
      <c r="B115" s="7"/>
      <c r="C115" s="7"/>
      <c r="I115" s="27"/>
      <c r="J115" s="27"/>
      <c r="L115" s="20">
        <f>SUM(L5:L114)</f>
        <v>2541430</v>
      </c>
      <c r="M115" s="21">
        <f>SUM(M5:M114)</f>
        <v>1396727</v>
      </c>
      <c r="O115" s="46"/>
      <c r="P115" s="10"/>
    </row>
    <row r="116" spans="1:25" s="9" customFormat="1">
      <c r="A116" s="38"/>
      <c r="B116" s="7"/>
      <c r="C116" s="7"/>
      <c r="I116" s="27"/>
      <c r="J116" s="27"/>
      <c r="M116" s="28"/>
      <c r="O116" s="46"/>
      <c r="P116"/>
      <c r="Q116"/>
      <c r="R116"/>
      <c r="S116"/>
      <c r="T116"/>
      <c r="U116"/>
      <c r="V116"/>
      <c r="W116"/>
      <c r="X116"/>
      <c r="Y116"/>
    </row>
    <row r="117" spans="1:25" s="9" customFormat="1">
      <c r="A117" s="38"/>
      <c r="B117" s="7"/>
      <c r="C117" s="7"/>
      <c r="I117" s="27"/>
      <c r="J117" s="27"/>
      <c r="M117" s="28"/>
      <c r="O117" s="46"/>
      <c r="P117"/>
      <c r="Q117"/>
      <c r="R117"/>
      <c r="S117"/>
      <c r="T117"/>
      <c r="U117"/>
      <c r="V117"/>
      <c r="W117"/>
      <c r="X117"/>
      <c r="Y117"/>
    </row>
    <row r="118" spans="1:25" s="9" customFormat="1">
      <c r="A118" s="38"/>
      <c r="B118" s="7"/>
      <c r="C118" s="7"/>
      <c r="I118" s="34"/>
      <c r="O118" s="46"/>
      <c r="P118"/>
      <c r="Q118"/>
      <c r="R118"/>
      <c r="S118"/>
      <c r="T118"/>
      <c r="U118"/>
      <c r="V118"/>
      <c r="W118"/>
      <c r="X118"/>
      <c r="Y118"/>
    </row>
    <row r="119" spans="1:25" s="9" customFormat="1">
      <c r="A119" s="38"/>
      <c r="B119" s="7"/>
      <c r="C119" s="7"/>
      <c r="I119" s="27"/>
      <c r="J119" s="27"/>
      <c r="O119" s="46"/>
      <c r="P119"/>
      <c r="Q119"/>
      <c r="R119"/>
      <c r="S119"/>
      <c r="T119"/>
      <c r="U119"/>
      <c r="V119"/>
      <c r="W119"/>
      <c r="X119"/>
      <c r="Y119"/>
    </row>
    <row r="120" spans="1:25" s="9" customFormat="1">
      <c r="A120" s="7"/>
      <c r="B120" s="7"/>
      <c r="C120" s="7"/>
      <c r="I120" s="27"/>
      <c r="J120" s="27"/>
      <c r="O120" s="46"/>
      <c r="P120"/>
      <c r="Q120"/>
      <c r="R120"/>
      <c r="S120"/>
      <c r="T120"/>
      <c r="U120"/>
      <c r="V120"/>
      <c r="W120"/>
      <c r="X120"/>
      <c r="Y120"/>
    </row>
    <row r="121" spans="1:25" s="9" customFormat="1">
      <c r="A121" s="7"/>
      <c r="B121" s="7"/>
      <c r="C121" s="7"/>
      <c r="I121" s="27"/>
      <c r="J121" s="27"/>
      <c r="O121" s="46"/>
      <c r="P121"/>
      <c r="Q121"/>
      <c r="R121"/>
      <c r="S121"/>
      <c r="T121"/>
      <c r="U121"/>
      <c r="V121"/>
      <c r="W121"/>
      <c r="X121"/>
      <c r="Y121"/>
    </row>
    <row r="122" spans="1:25" s="9" customFormat="1">
      <c r="A122" s="7"/>
      <c r="B122" s="7"/>
      <c r="C122" s="7"/>
      <c r="I122" s="27"/>
      <c r="J122" s="27"/>
      <c r="O122" s="46"/>
      <c r="P122"/>
      <c r="Q122"/>
      <c r="R122"/>
      <c r="S122"/>
      <c r="T122"/>
      <c r="U122"/>
      <c r="V122"/>
      <c r="W122"/>
      <c r="X122"/>
      <c r="Y122"/>
    </row>
    <row r="123" spans="1:25" s="9" customFormat="1">
      <c r="A123" s="7"/>
      <c r="B123" s="7"/>
      <c r="C123" s="7"/>
      <c r="I123" s="27"/>
      <c r="J123" s="27"/>
      <c r="O123" s="46"/>
      <c r="Q123"/>
      <c r="R123"/>
      <c r="S123"/>
      <c r="T123"/>
      <c r="U123"/>
      <c r="V123"/>
      <c r="W123"/>
      <c r="X123"/>
      <c r="Y123"/>
    </row>
    <row r="124" spans="1:25" s="9" customFormat="1">
      <c r="A124" s="7"/>
      <c r="B124" s="7"/>
      <c r="C124" s="7"/>
      <c r="I124" s="27"/>
      <c r="J124" s="27"/>
      <c r="O124" s="46"/>
      <c r="P124"/>
      <c r="Q124"/>
      <c r="R124"/>
      <c r="S124"/>
      <c r="T124"/>
      <c r="U124"/>
      <c r="V124"/>
      <c r="W124"/>
      <c r="X124"/>
      <c r="Y124"/>
    </row>
    <row r="125" spans="1:25" s="9" customFormat="1">
      <c r="A125" s="7"/>
      <c r="B125" s="7"/>
      <c r="C125" s="7"/>
      <c r="I125" s="27"/>
      <c r="J125" s="27"/>
      <c r="O125" s="46"/>
      <c r="P125"/>
      <c r="Q125"/>
      <c r="R125"/>
      <c r="S125"/>
      <c r="T125"/>
      <c r="U125"/>
      <c r="V125"/>
      <c r="W125"/>
      <c r="X125"/>
      <c r="Y125"/>
    </row>
    <row r="126" spans="1:25" s="9" customFormat="1" ht="13.5">
      <c r="A126" s="7"/>
      <c r="B126" s="7"/>
      <c r="C126" s="7"/>
      <c r="I126" s="27"/>
      <c r="J126" s="27"/>
      <c r="O126" s="46"/>
      <c r="P126" s="10"/>
    </row>
    <row r="127" spans="1:25" s="9" customFormat="1" ht="13.5">
      <c r="A127" s="7"/>
      <c r="B127" s="7"/>
      <c r="C127" s="7"/>
      <c r="I127" s="27"/>
      <c r="J127" s="27"/>
      <c r="O127" s="46"/>
      <c r="P127" s="10"/>
    </row>
    <row r="128" spans="1:25" s="9" customFormat="1" ht="13.5">
      <c r="A128" s="7"/>
      <c r="B128" s="7"/>
      <c r="C128" s="7"/>
      <c r="I128" s="27"/>
      <c r="J128" s="27"/>
      <c r="O128" s="46"/>
      <c r="P128" s="10"/>
    </row>
    <row r="129" spans="1:16" s="9" customFormat="1" ht="13.5">
      <c r="A129" s="7"/>
      <c r="B129" s="7"/>
      <c r="C129" s="7"/>
      <c r="I129" s="27"/>
      <c r="J129" s="27"/>
      <c r="O129" s="46"/>
      <c r="P129" s="10"/>
    </row>
    <row r="130" spans="1:16" s="9" customFormat="1" ht="13.5">
      <c r="A130" s="7"/>
      <c r="B130" s="7"/>
      <c r="C130" s="7"/>
      <c r="I130" s="27"/>
      <c r="J130" s="27"/>
      <c r="O130" s="46"/>
      <c r="P130" s="10"/>
    </row>
    <row r="131" spans="1:16" s="9" customFormat="1" ht="13.5">
      <c r="A131" s="7"/>
      <c r="B131" s="7"/>
      <c r="C131" s="7"/>
      <c r="I131" s="27"/>
      <c r="J131" s="27"/>
      <c r="O131" s="46"/>
      <c r="P131" s="10"/>
    </row>
    <row r="132" spans="1:16" s="9" customFormat="1" ht="13.5">
      <c r="A132" s="7"/>
      <c r="B132" s="7"/>
      <c r="C132" s="7"/>
      <c r="I132" s="27"/>
      <c r="J132" s="27"/>
      <c r="O132" s="46"/>
      <c r="P132" s="10"/>
    </row>
    <row r="133" spans="1:16">
      <c r="A133" s="7"/>
      <c r="B133" s="7"/>
      <c r="C133" s="7"/>
    </row>
    <row r="134" spans="1:16">
      <c r="A134" s="7"/>
      <c r="B134" s="7"/>
      <c r="C134" s="7"/>
    </row>
    <row r="135" spans="1:16">
      <c r="A135" s="7"/>
      <c r="B135" s="7"/>
      <c r="C135" s="7"/>
    </row>
    <row r="136" spans="1:16">
      <c r="A136" s="7"/>
      <c r="B136" s="7"/>
      <c r="C136" s="7"/>
    </row>
    <row r="137" spans="1:16">
      <c r="A137" s="7"/>
      <c r="B137" s="7"/>
      <c r="C137" s="7"/>
    </row>
    <row r="138" spans="1:16">
      <c r="A138" s="7"/>
      <c r="B138" s="7"/>
      <c r="C138" s="7"/>
    </row>
    <row r="139" spans="1:16">
      <c r="A139" s="7"/>
      <c r="B139" s="7"/>
      <c r="C139" s="7"/>
    </row>
    <row r="140" spans="1:16">
      <c r="A140" s="7"/>
      <c r="B140" s="7"/>
      <c r="C140" s="7"/>
    </row>
    <row r="141" spans="1:16">
      <c r="A141" s="7"/>
      <c r="B141" s="7"/>
      <c r="C141" s="7"/>
    </row>
    <row r="142" spans="1:16">
      <c r="A142" s="7"/>
      <c r="B142" s="7"/>
      <c r="C142" s="7"/>
    </row>
    <row r="143" spans="1:16">
      <c r="A143" s="7"/>
      <c r="B143" s="7"/>
      <c r="C143" s="7"/>
    </row>
    <row r="144" spans="1:16">
      <c r="A144" s="7"/>
      <c r="B144" s="7"/>
      <c r="C144" s="7"/>
    </row>
    <row r="145" spans="1:3">
      <c r="A145" s="7"/>
      <c r="B145" s="7"/>
      <c r="C145" s="7"/>
    </row>
    <row r="146" spans="1:3">
      <c r="A146" s="7"/>
      <c r="B146" s="7"/>
      <c r="C146" s="7"/>
    </row>
    <row r="147" spans="1:3">
      <c r="A147" s="7"/>
      <c r="B147" s="7"/>
      <c r="C147" s="7"/>
    </row>
    <row r="148" spans="1:3">
      <c r="A148" s="7"/>
      <c r="B148" s="7"/>
      <c r="C148" s="7"/>
    </row>
    <row r="149" spans="1:3">
      <c r="A149" s="7"/>
      <c r="B149" s="7"/>
      <c r="C149" s="7"/>
    </row>
    <row r="150" spans="1:3">
      <c r="A150" s="7"/>
      <c r="B150" s="7"/>
      <c r="C150" s="7"/>
    </row>
    <row r="151" spans="1:3">
      <c r="A151" s="7"/>
      <c r="B151" s="7"/>
      <c r="C151" s="7"/>
    </row>
    <row r="152" spans="1:3">
      <c r="A152" s="7"/>
      <c r="B152" s="7"/>
      <c r="C152" s="7"/>
    </row>
    <row r="153" spans="1:3">
      <c r="A153" s="7"/>
      <c r="B153" s="7"/>
      <c r="C153" s="7"/>
    </row>
    <row r="154" spans="1:3">
      <c r="A154" s="7"/>
      <c r="B154" s="7"/>
      <c r="C154" s="7"/>
    </row>
    <row r="155" spans="1:3">
      <c r="A155" s="7"/>
      <c r="B155" s="7"/>
      <c r="C155" s="7"/>
    </row>
    <row r="156" spans="1:3">
      <c r="A156" s="7"/>
      <c r="B156" s="7"/>
      <c r="C156" s="7"/>
    </row>
    <row r="157" spans="1:3">
      <c r="A157" s="7"/>
      <c r="B157" s="7"/>
      <c r="C157" s="7"/>
    </row>
    <row r="158" spans="1:3">
      <c r="A158" s="7"/>
      <c r="B158" s="7"/>
      <c r="C158" s="7"/>
    </row>
    <row r="159" spans="1:3">
      <c r="A159" s="7"/>
      <c r="B159" s="7"/>
      <c r="C159" s="7"/>
    </row>
    <row r="160" spans="1:3">
      <c r="A160" s="7"/>
      <c r="B160" s="7"/>
      <c r="C160" s="7"/>
    </row>
    <row r="161" spans="1:3">
      <c r="A161" s="7"/>
      <c r="B161" s="7"/>
      <c r="C161" s="7"/>
    </row>
    <row r="162" spans="1:3">
      <c r="A162" s="7"/>
      <c r="B162" s="7"/>
      <c r="C162" s="7"/>
    </row>
    <row r="163" spans="1:3">
      <c r="A163" s="7"/>
      <c r="B163" s="7"/>
      <c r="C163" s="7"/>
    </row>
    <row r="164" spans="1:3">
      <c r="A164" s="7"/>
      <c r="B164" s="7"/>
      <c r="C164" s="7"/>
    </row>
    <row r="165" spans="1:3">
      <c r="A165" s="7"/>
      <c r="B165" s="7"/>
      <c r="C165" s="7"/>
    </row>
    <row r="166" spans="1:3">
      <c r="A166" s="7"/>
      <c r="B166" s="7"/>
      <c r="C166" s="7"/>
    </row>
    <row r="167" spans="1:3">
      <c r="A167" s="7"/>
      <c r="B167" s="7"/>
      <c r="C167" s="7"/>
    </row>
    <row r="168" spans="1:3">
      <c r="A168" s="7"/>
      <c r="B168" s="7"/>
      <c r="C168" s="7"/>
    </row>
    <row r="169" spans="1:3">
      <c r="A169" s="7"/>
      <c r="B169" s="7"/>
      <c r="C169" s="7"/>
    </row>
    <row r="170" spans="1:3">
      <c r="A170" s="7"/>
      <c r="B170" s="7"/>
      <c r="C170" s="7"/>
    </row>
    <row r="171" spans="1:3">
      <c r="A171" s="7"/>
      <c r="B171" s="7"/>
      <c r="C171" s="7"/>
    </row>
    <row r="172" spans="1:3">
      <c r="A172" s="7"/>
      <c r="B172" s="7"/>
      <c r="C172" s="7"/>
    </row>
    <row r="173" spans="1:3">
      <c r="A173" s="7"/>
      <c r="B173" s="7"/>
      <c r="C173" s="7"/>
    </row>
    <row r="174" spans="1:3">
      <c r="A174" s="7"/>
      <c r="B174" s="7"/>
      <c r="C174" s="7"/>
    </row>
    <row r="175" spans="1:3">
      <c r="A175" s="7"/>
      <c r="B175" s="7"/>
      <c r="C175" s="7"/>
    </row>
  </sheetData>
  <autoFilter ref="A4:AB115" xr:uid="{00000000-0009-0000-0000-000000000000}"/>
  <sortState xmlns:xlrd2="http://schemas.microsoft.com/office/spreadsheetml/2017/richdata2" ref="B13:O120">
    <sortCondition ref="D13:D120"/>
  </sortState>
  <dataConsolidate/>
  <mergeCells count="3">
    <mergeCell ref="K3:K4"/>
    <mergeCell ref="L3:M3"/>
    <mergeCell ref="I3:J3"/>
  </mergeCells>
  <phoneticPr fontId="3" type="noConversion"/>
  <conditionalFormatting sqref="D5:D114 G5:G114">
    <cfRule type="expression" dxfId="21" priority="19">
      <formula>COUNTIF(D:D,D:D)&gt;1</formula>
    </cfRule>
  </conditionalFormatting>
  <conditionalFormatting sqref="G13 D5:D11 G5:G11 G20:G21 G26 G30 G33:G34 G38:G39 G43 G46 G48 G57 G65 G70:G71 G75 G78 G89:G91 G95 G99:G101 G104 G108"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</conditionalFormatting>
  <conditionalFormatting sqref="G13 D13">
    <cfRule type="duplicateValues" dxfId="14" priority="173"/>
    <cfRule type="duplicateValues" dxfId="13" priority="174"/>
    <cfRule type="duplicateValues" dxfId="12" priority="175"/>
    <cfRule type="duplicateValues" dxfId="11" priority="176"/>
    <cfRule type="duplicateValues" dxfId="10" priority="177"/>
    <cfRule type="duplicateValues" dxfId="9" priority="178"/>
    <cfRule type="duplicateValues" dxfId="8" priority="179"/>
    <cfRule type="duplicateValues" dxfId="7" priority="180"/>
    <cfRule type="duplicateValues" dxfId="6" priority="181"/>
    <cfRule type="duplicateValues" dxfId="5" priority="182"/>
    <cfRule type="duplicateValues" dxfId="4" priority="183"/>
    <cfRule type="duplicateValues" dxfId="3" priority="184"/>
  </conditionalFormatting>
  <conditionalFormatting sqref="G35:G50 D35:D50 D52:D85 G52:G85 D87:D88 G87:G88 D90:D98 G90:G98 D28 G28 D100:D114 G100:G114 D25 G25 D17 G17 D15 G15">
    <cfRule type="duplicateValues" dxfId="2" priority="197"/>
  </conditionalFormatting>
  <conditionalFormatting sqref="G35:G50 D35:D50">
    <cfRule type="duplicateValues" dxfId="1" priority="215"/>
  </conditionalFormatting>
  <conditionalFormatting sqref="G115:G1048576 D115:D1048576 D1:D4 G1:G4">
    <cfRule type="duplicateValues" dxfId="0" priority="217"/>
  </conditionalFormatting>
  <printOptions horizontalCentered="1"/>
  <pageMargins left="0.19685039370078741" right="0.19685039370078741" top="0.74803149606299213" bottom="0.74803149606299213" header="0.31496062992125984" footer="0.31496062992125984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88"/>
  <sheetViews>
    <sheetView topLeftCell="A54" workbookViewId="0">
      <selection activeCell="F15" sqref="F15"/>
    </sheetView>
  </sheetViews>
  <sheetFormatPr defaultRowHeight="16.5"/>
  <sheetData>
    <row r="2" spans="1:3">
      <c r="A2" t="s">
        <v>7</v>
      </c>
      <c r="B2" t="s">
        <v>207</v>
      </c>
      <c r="C2" t="s">
        <v>208</v>
      </c>
    </row>
    <row r="3" spans="1:3">
      <c r="A3" t="s">
        <v>9</v>
      </c>
    </row>
    <row r="4" spans="1:3">
      <c r="A4" t="s">
        <v>203</v>
      </c>
      <c r="B4" t="s">
        <v>209</v>
      </c>
      <c r="C4" t="s">
        <v>210</v>
      </c>
    </row>
    <row r="5" spans="1:3">
      <c r="A5" t="s">
        <v>11</v>
      </c>
    </row>
    <row r="6" spans="1:3">
      <c r="A6" t="s">
        <v>13</v>
      </c>
      <c r="B6" t="s">
        <v>207</v>
      </c>
      <c r="C6" t="s">
        <v>211</v>
      </c>
    </row>
    <row r="7" spans="1:3">
      <c r="A7" t="s">
        <v>80</v>
      </c>
      <c r="B7" t="s">
        <v>209</v>
      </c>
      <c r="C7" t="s">
        <v>212</v>
      </c>
    </row>
    <row r="8" spans="1:3" ht="66">
      <c r="A8" t="s">
        <v>41</v>
      </c>
      <c r="B8" s="2" t="s">
        <v>213</v>
      </c>
      <c r="C8" s="2" t="s">
        <v>214</v>
      </c>
    </row>
    <row r="9" spans="1:3">
      <c r="A9" t="s">
        <v>205</v>
      </c>
    </row>
    <row r="10" spans="1:3">
      <c r="A10" t="s">
        <v>84</v>
      </c>
      <c r="B10" t="s">
        <v>215</v>
      </c>
      <c r="C10" t="s">
        <v>216</v>
      </c>
    </row>
    <row r="11" spans="1:3">
      <c r="A11" t="s">
        <v>126</v>
      </c>
      <c r="B11" t="s">
        <v>217</v>
      </c>
      <c r="C11" t="s">
        <v>218</v>
      </c>
    </row>
    <row r="12" spans="1:3">
      <c r="A12" t="s">
        <v>47</v>
      </c>
      <c r="B12" t="s">
        <v>219</v>
      </c>
      <c r="C12" t="s">
        <v>220</v>
      </c>
    </row>
    <row r="13" spans="1:3">
      <c r="A13" t="s">
        <v>17</v>
      </c>
      <c r="B13" t="s">
        <v>221</v>
      </c>
      <c r="C13" s="12">
        <v>18091000000000</v>
      </c>
    </row>
    <row r="14" spans="1:3">
      <c r="A14" t="s">
        <v>39</v>
      </c>
      <c r="B14" t="s">
        <v>215</v>
      </c>
      <c r="C14" t="s">
        <v>222</v>
      </c>
    </row>
    <row r="15" spans="1:3">
      <c r="A15" t="s">
        <v>57</v>
      </c>
      <c r="B15" t="s">
        <v>223</v>
      </c>
      <c r="C15" t="s">
        <v>224</v>
      </c>
    </row>
    <row r="16" spans="1:3">
      <c r="A16" t="s">
        <v>107</v>
      </c>
    </row>
    <row r="17" spans="1:3">
      <c r="A17" t="s">
        <v>88</v>
      </c>
      <c r="B17" t="s">
        <v>219</v>
      </c>
      <c r="C17">
        <v>1109590412401</v>
      </c>
    </row>
    <row r="18" spans="1:3">
      <c r="A18" t="s">
        <v>114</v>
      </c>
      <c r="B18" t="s">
        <v>219</v>
      </c>
      <c r="C18">
        <v>10307111238</v>
      </c>
    </row>
    <row r="19" spans="1:3">
      <c r="A19" t="s">
        <v>136</v>
      </c>
      <c r="B19" t="s">
        <v>221</v>
      </c>
      <c r="C19" t="s">
        <v>225</v>
      </c>
    </row>
    <row r="20" spans="1:3">
      <c r="A20" t="s">
        <v>15</v>
      </c>
      <c r="B20" t="s">
        <v>221</v>
      </c>
      <c r="C20" t="s">
        <v>226</v>
      </c>
    </row>
    <row r="21" spans="1:3">
      <c r="A21" t="s">
        <v>138</v>
      </c>
      <c r="B21" t="s">
        <v>215</v>
      </c>
      <c r="C21" s="12">
        <v>59770200000000</v>
      </c>
    </row>
    <row r="22" spans="1:3">
      <c r="A22" t="s">
        <v>51</v>
      </c>
      <c r="B22" t="s">
        <v>227</v>
      </c>
      <c r="C22" s="12">
        <v>1222640000000</v>
      </c>
    </row>
    <row r="23" spans="1:3">
      <c r="A23" t="s">
        <v>96</v>
      </c>
      <c r="B23" t="s">
        <v>221</v>
      </c>
      <c r="C23" s="12">
        <v>37681000000000</v>
      </c>
    </row>
    <row r="24" spans="1:3">
      <c r="A24" t="s">
        <v>35</v>
      </c>
      <c r="B24" t="s">
        <v>209</v>
      </c>
      <c r="C24" s="12">
        <v>110133000000</v>
      </c>
    </row>
    <row r="25" spans="1:3">
      <c r="A25" t="s">
        <v>109</v>
      </c>
      <c r="B25" t="s">
        <v>228</v>
      </c>
      <c r="C25" t="s">
        <v>229</v>
      </c>
    </row>
    <row r="26" spans="1:3">
      <c r="A26" t="s">
        <v>92</v>
      </c>
      <c r="B26" t="s">
        <v>221</v>
      </c>
      <c r="C26" t="s">
        <v>230</v>
      </c>
    </row>
    <row r="27" spans="1:3">
      <c r="A27" t="s">
        <v>43</v>
      </c>
      <c r="B27" t="s">
        <v>231</v>
      </c>
      <c r="C27" t="s">
        <v>232</v>
      </c>
    </row>
    <row r="28" spans="1:3">
      <c r="A28" t="s">
        <v>37</v>
      </c>
      <c r="B28" t="s">
        <v>233</v>
      </c>
      <c r="C28" t="s">
        <v>234</v>
      </c>
    </row>
    <row r="29" spans="1:3">
      <c r="A29" t="s">
        <v>130</v>
      </c>
      <c r="B29" t="s">
        <v>235</v>
      </c>
      <c r="C29" t="s">
        <v>236</v>
      </c>
    </row>
    <row r="30" spans="1:3">
      <c r="A30" t="s">
        <v>147</v>
      </c>
      <c r="B30" t="s">
        <v>227</v>
      </c>
      <c r="C30" t="s">
        <v>237</v>
      </c>
    </row>
    <row r="31" spans="1:3">
      <c r="A31" t="s">
        <v>45</v>
      </c>
      <c r="B31" t="s">
        <v>227</v>
      </c>
      <c r="C31" t="s">
        <v>238</v>
      </c>
    </row>
    <row r="32" spans="1:3">
      <c r="A32" t="s">
        <v>6</v>
      </c>
    </row>
    <row r="33" spans="1:3">
      <c r="A33" t="s">
        <v>144</v>
      </c>
      <c r="B33" t="s">
        <v>219</v>
      </c>
      <c r="C33" t="s">
        <v>239</v>
      </c>
    </row>
    <row r="34" spans="1:3">
      <c r="A34" t="s">
        <v>120</v>
      </c>
    </row>
    <row r="35" spans="1:3">
      <c r="A35" t="s">
        <v>29</v>
      </c>
      <c r="B35" t="s">
        <v>240</v>
      </c>
      <c r="C35" t="s">
        <v>241</v>
      </c>
    </row>
    <row r="36" spans="1:3">
      <c r="A36" t="s">
        <v>132</v>
      </c>
      <c r="B36" t="s">
        <v>240</v>
      </c>
      <c r="C36" t="s">
        <v>242</v>
      </c>
    </row>
    <row r="37" spans="1:3">
      <c r="A37" t="s">
        <v>25</v>
      </c>
      <c r="B37" t="s">
        <v>233</v>
      </c>
      <c r="C37" t="s">
        <v>243</v>
      </c>
    </row>
    <row r="38" spans="1:3">
      <c r="A38" t="s">
        <v>205</v>
      </c>
    </row>
    <row r="39" spans="1:3">
      <c r="A39" t="s">
        <v>244</v>
      </c>
    </row>
    <row r="40" spans="1:3" ht="33">
      <c r="A40" t="s">
        <v>112</v>
      </c>
      <c r="B40" s="2" t="s">
        <v>245</v>
      </c>
      <c r="C40" t="s">
        <v>246</v>
      </c>
    </row>
    <row r="41" spans="1:3">
      <c r="A41" t="s">
        <v>71</v>
      </c>
      <c r="B41" t="s">
        <v>247</v>
      </c>
      <c r="C41" t="s">
        <v>248</v>
      </c>
    </row>
    <row r="42" spans="1:3">
      <c r="A42" t="s">
        <v>55</v>
      </c>
      <c r="B42" t="s">
        <v>247</v>
      </c>
      <c r="C42" t="s">
        <v>249</v>
      </c>
    </row>
    <row r="43" spans="1:3">
      <c r="A43" t="s">
        <v>149</v>
      </c>
      <c r="B43" t="s">
        <v>223</v>
      </c>
      <c r="C43" t="s">
        <v>250</v>
      </c>
    </row>
    <row r="44" spans="1:3">
      <c r="A44" t="s">
        <v>118</v>
      </c>
      <c r="B44" t="s">
        <v>247</v>
      </c>
      <c r="C44" t="s">
        <v>251</v>
      </c>
    </row>
    <row r="45" spans="1:3">
      <c r="A45" t="s">
        <v>23</v>
      </c>
      <c r="B45" t="s">
        <v>221</v>
      </c>
      <c r="C45" t="s">
        <v>252</v>
      </c>
    </row>
    <row r="46" spans="1:3">
      <c r="A46" t="s">
        <v>27</v>
      </c>
      <c r="B46" t="s">
        <v>253</v>
      </c>
      <c r="C46" t="s">
        <v>254</v>
      </c>
    </row>
    <row r="47" spans="1:3">
      <c r="A47" t="s">
        <v>73</v>
      </c>
      <c r="B47" t="s">
        <v>209</v>
      </c>
      <c r="C47" t="s">
        <v>255</v>
      </c>
    </row>
    <row r="48" spans="1:3">
      <c r="A48" t="s">
        <v>67</v>
      </c>
      <c r="B48" t="s">
        <v>209</v>
      </c>
      <c r="C48" t="s">
        <v>256</v>
      </c>
    </row>
    <row r="49" spans="1:3">
      <c r="A49" t="s">
        <v>124</v>
      </c>
      <c r="B49" t="s">
        <v>257</v>
      </c>
      <c r="C49" t="s">
        <v>258</v>
      </c>
    </row>
    <row r="50" spans="1:3">
      <c r="A50" t="s">
        <v>33</v>
      </c>
      <c r="B50" t="s">
        <v>221</v>
      </c>
      <c r="C50" t="s">
        <v>259</v>
      </c>
    </row>
    <row r="51" spans="1:3">
      <c r="A51" t="s">
        <v>31</v>
      </c>
      <c r="B51" t="s">
        <v>260</v>
      </c>
      <c r="C51" t="s">
        <v>261</v>
      </c>
    </row>
    <row r="52" spans="1:3">
      <c r="A52" t="s">
        <v>77</v>
      </c>
      <c r="B52" t="s">
        <v>221</v>
      </c>
      <c r="C52" t="s">
        <v>262</v>
      </c>
    </row>
    <row r="53" spans="1:3">
      <c r="A53" t="s">
        <v>106</v>
      </c>
      <c r="B53" t="s">
        <v>221</v>
      </c>
      <c r="C53" t="s">
        <v>263</v>
      </c>
    </row>
    <row r="54" spans="1:3">
      <c r="A54" t="s">
        <v>128</v>
      </c>
      <c r="B54" t="s">
        <v>223</v>
      </c>
      <c r="C54" t="s">
        <v>264</v>
      </c>
    </row>
    <row r="55" spans="1:3">
      <c r="A55" t="s">
        <v>69</v>
      </c>
      <c r="B55" t="s">
        <v>221</v>
      </c>
      <c r="C55" t="s">
        <v>265</v>
      </c>
    </row>
    <row r="56" spans="1:3">
      <c r="A56" t="s">
        <v>100</v>
      </c>
      <c r="B56" t="s">
        <v>233</v>
      </c>
      <c r="C56" t="s">
        <v>266</v>
      </c>
    </row>
    <row r="57" spans="1:3">
      <c r="A57" t="s">
        <v>102</v>
      </c>
      <c r="B57" t="s">
        <v>221</v>
      </c>
      <c r="C57" s="12">
        <v>7341040000000</v>
      </c>
    </row>
    <row r="58" spans="1:3">
      <c r="A58" t="s">
        <v>90</v>
      </c>
      <c r="B58" t="s">
        <v>221</v>
      </c>
      <c r="C58" s="12">
        <v>35291000000000</v>
      </c>
    </row>
    <row r="59" spans="1:3">
      <c r="A59" t="s">
        <v>116</v>
      </c>
      <c r="B59" t="s">
        <v>267</v>
      </c>
      <c r="C59" t="s">
        <v>268</v>
      </c>
    </row>
    <row r="60" spans="1:3">
      <c r="A60" t="s">
        <v>74</v>
      </c>
      <c r="B60" t="s">
        <v>221</v>
      </c>
      <c r="C60" t="s">
        <v>269</v>
      </c>
    </row>
    <row r="61" spans="1:3">
      <c r="A61" t="s">
        <v>270</v>
      </c>
      <c r="B61" t="s">
        <v>233</v>
      </c>
      <c r="C61" t="s">
        <v>271</v>
      </c>
    </row>
    <row r="62" spans="1:3">
      <c r="A62" t="s">
        <v>49</v>
      </c>
      <c r="B62" t="s">
        <v>221</v>
      </c>
      <c r="C62" t="s">
        <v>272</v>
      </c>
    </row>
    <row r="63" spans="1:3">
      <c r="A63" t="s">
        <v>61</v>
      </c>
      <c r="B63" t="s">
        <v>273</v>
      </c>
      <c r="C63" t="s">
        <v>274</v>
      </c>
    </row>
    <row r="64" spans="1:3">
      <c r="A64" t="s">
        <v>146</v>
      </c>
      <c r="B64" t="s">
        <v>233</v>
      </c>
      <c r="C64" t="s">
        <v>275</v>
      </c>
    </row>
    <row r="65" spans="1:3">
      <c r="A65" t="s">
        <v>104</v>
      </c>
      <c r="B65" t="s">
        <v>233</v>
      </c>
      <c r="C65" t="s">
        <v>276</v>
      </c>
    </row>
    <row r="66" spans="1:3">
      <c r="A66" t="s">
        <v>65</v>
      </c>
      <c r="B66" t="s">
        <v>215</v>
      </c>
      <c r="C66" t="s">
        <v>277</v>
      </c>
    </row>
    <row r="67" spans="1:3">
      <c r="A67" t="s">
        <v>53</v>
      </c>
      <c r="B67" t="s">
        <v>278</v>
      </c>
      <c r="C67" t="s">
        <v>279</v>
      </c>
    </row>
    <row r="68" spans="1:3">
      <c r="A68" t="s">
        <v>122</v>
      </c>
      <c r="B68" t="s">
        <v>278</v>
      </c>
      <c r="C68" t="s">
        <v>280</v>
      </c>
    </row>
    <row r="69" spans="1:3">
      <c r="A69" t="s">
        <v>142</v>
      </c>
      <c r="B69" t="s">
        <v>233</v>
      </c>
      <c r="C69" t="s">
        <v>281</v>
      </c>
    </row>
    <row r="70" spans="1:3">
      <c r="A70" t="s">
        <v>21</v>
      </c>
      <c r="B70" t="s">
        <v>221</v>
      </c>
      <c r="C70" t="s">
        <v>282</v>
      </c>
    </row>
    <row r="71" spans="1:3">
      <c r="A71" t="s">
        <v>140</v>
      </c>
      <c r="B71" t="s">
        <v>233</v>
      </c>
      <c r="C71" t="s">
        <v>283</v>
      </c>
    </row>
    <row r="72" spans="1:3">
      <c r="A72" t="s">
        <v>110</v>
      </c>
      <c r="B72" t="s">
        <v>223</v>
      </c>
      <c r="C72" t="s">
        <v>284</v>
      </c>
    </row>
    <row r="73" spans="1:3">
      <c r="A73" t="s">
        <v>19</v>
      </c>
    </row>
    <row r="74" spans="1:3">
      <c r="A74" t="s">
        <v>59</v>
      </c>
    </row>
    <row r="75" spans="1:3">
      <c r="A75" t="s">
        <v>134</v>
      </c>
    </row>
    <row r="76" spans="1:3">
      <c r="A76" t="s">
        <v>75</v>
      </c>
    </row>
    <row r="77" spans="1:3">
      <c r="A77" t="s">
        <v>94</v>
      </c>
      <c r="B77" t="s">
        <v>209</v>
      </c>
      <c r="C77" s="12">
        <v>110007000000</v>
      </c>
    </row>
    <row r="78" spans="1:3">
      <c r="A78" t="s">
        <v>285</v>
      </c>
      <c r="B78" t="s">
        <v>219</v>
      </c>
      <c r="C78" t="s">
        <v>286</v>
      </c>
    </row>
    <row r="79" spans="1:3">
      <c r="A79" t="s">
        <v>63</v>
      </c>
      <c r="B79" t="s">
        <v>223</v>
      </c>
      <c r="C79" t="s">
        <v>287</v>
      </c>
    </row>
    <row r="80" spans="1:3">
      <c r="A80" t="s">
        <v>98</v>
      </c>
      <c r="B80" t="s">
        <v>215</v>
      </c>
      <c r="C80" t="s">
        <v>288</v>
      </c>
    </row>
    <row r="81" spans="1:3">
      <c r="A81" t="s">
        <v>86</v>
      </c>
    </row>
    <row r="82" spans="1:3">
      <c r="A82" t="s">
        <v>289</v>
      </c>
    </row>
    <row r="83" spans="1:3">
      <c r="A83" t="s">
        <v>197</v>
      </c>
    </row>
    <row r="84" spans="1:3">
      <c r="A84" t="s">
        <v>199</v>
      </c>
    </row>
    <row r="85" spans="1:3">
      <c r="A85" t="s">
        <v>200</v>
      </c>
    </row>
    <row r="86" spans="1:3">
      <c r="A86" t="s">
        <v>201</v>
      </c>
    </row>
    <row r="87" spans="1:3">
      <c r="A87" t="s">
        <v>82</v>
      </c>
      <c r="B87" t="s">
        <v>207</v>
      </c>
      <c r="C87" t="s">
        <v>290</v>
      </c>
    </row>
    <row r="88" spans="1:3">
      <c r="A88" t="s">
        <v>291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88"/>
  <sheetViews>
    <sheetView workbookViewId="0">
      <selection activeCell="H27" sqref="H27"/>
    </sheetView>
  </sheetViews>
  <sheetFormatPr defaultRowHeight="16.5"/>
  <sheetData>
    <row r="2" spans="2:3">
      <c r="B2" t="s">
        <v>151</v>
      </c>
      <c r="C2" t="s">
        <v>292</v>
      </c>
    </row>
    <row r="3" spans="2:3">
      <c r="B3" t="s">
        <v>152</v>
      </c>
      <c r="C3" t="s">
        <v>293</v>
      </c>
    </row>
    <row r="5" spans="2:3">
      <c r="B5" t="s">
        <v>153</v>
      </c>
      <c r="C5" t="s">
        <v>294</v>
      </c>
    </row>
    <row r="6" spans="2:3">
      <c r="B6" t="s">
        <v>154</v>
      </c>
      <c r="C6" t="s">
        <v>295</v>
      </c>
    </row>
    <row r="7" spans="2:3">
      <c r="B7" t="s">
        <v>179</v>
      </c>
      <c r="C7" t="s">
        <v>296</v>
      </c>
    </row>
    <row r="8" spans="2:3">
      <c r="B8" t="s">
        <v>165</v>
      </c>
      <c r="C8" t="s">
        <v>297</v>
      </c>
    </row>
    <row r="10" spans="2:3">
      <c r="B10" t="s">
        <v>181</v>
      </c>
      <c r="C10" t="s">
        <v>296</v>
      </c>
    </row>
    <row r="11" spans="2:3">
      <c r="B11" t="s">
        <v>168</v>
      </c>
      <c r="C11" t="s">
        <v>296</v>
      </c>
    </row>
    <row r="12" spans="2:3">
      <c r="B12" t="s">
        <v>168</v>
      </c>
      <c r="C12" t="s">
        <v>296</v>
      </c>
    </row>
    <row r="13" spans="2:3">
      <c r="B13" t="s">
        <v>156</v>
      </c>
      <c r="C13" t="s">
        <v>298</v>
      </c>
    </row>
    <row r="14" spans="2:3">
      <c r="B14" t="s">
        <v>164</v>
      </c>
      <c r="C14" t="s">
        <v>299</v>
      </c>
    </row>
    <row r="15" spans="2:3">
      <c r="B15" t="s">
        <v>171</v>
      </c>
      <c r="C15" t="s">
        <v>299</v>
      </c>
    </row>
    <row r="16" spans="2:3">
      <c r="B16" t="s">
        <v>187</v>
      </c>
      <c r="C16" t="s">
        <v>300</v>
      </c>
    </row>
    <row r="17" spans="2:3">
      <c r="B17" t="s">
        <v>156</v>
      </c>
      <c r="C17" t="s">
        <v>298</v>
      </c>
    </row>
    <row r="18" spans="2:3">
      <c r="B18" t="s">
        <v>190</v>
      </c>
      <c r="C18" t="s">
        <v>299</v>
      </c>
    </row>
    <row r="19" spans="2:3">
      <c r="B19" t="s">
        <v>155</v>
      </c>
      <c r="C19" t="s">
        <v>300</v>
      </c>
    </row>
    <row r="20" spans="2:3">
      <c r="B20" t="s">
        <v>155</v>
      </c>
      <c r="C20" t="s">
        <v>300</v>
      </c>
    </row>
    <row r="21" spans="2:3">
      <c r="B21" t="s">
        <v>194</v>
      </c>
      <c r="C21" t="s">
        <v>300</v>
      </c>
    </row>
    <row r="22" spans="2:3">
      <c r="B22" t="s">
        <v>162</v>
      </c>
      <c r="C22" t="s">
        <v>300</v>
      </c>
    </row>
    <row r="23" spans="2:3">
      <c r="B23" t="s">
        <v>162</v>
      </c>
      <c r="C23" t="s">
        <v>300</v>
      </c>
    </row>
    <row r="24" spans="2:3">
      <c r="B24" t="s">
        <v>162</v>
      </c>
      <c r="C24" t="s">
        <v>300</v>
      </c>
    </row>
    <row r="25" spans="2:3">
      <c r="B25" t="s">
        <v>188</v>
      </c>
      <c r="C25" t="s">
        <v>297</v>
      </c>
    </row>
    <row r="26" spans="2:3">
      <c r="B26" t="s">
        <v>183</v>
      </c>
      <c r="C26" t="s">
        <v>297</v>
      </c>
    </row>
    <row r="27" spans="2:3">
      <c r="B27" t="s">
        <v>166</v>
      </c>
      <c r="C27" t="s">
        <v>301</v>
      </c>
    </row>
    <row r="28" spans="2:3">
      <c r="B28" t="s">
        <v>163</v>
      </c>
      <c r="C28" t="s">
        <v>302</v>
      </c>
    </row>
    <row r="29" spans="2:3">
      <c r="B29" t="s">
        <v>193</v>
      </c>
      <c r="C29" t="s">
        <v>303</v>
      </c>
    </row>
    <row r="30" spans="2:3">
      <c r="B30" t="s">
        <v>167</v>
      </c>
      <c r="C30" t="s">
        <v>302</v>
      </c>
    </row>
    <row r="31" spans="2:3">
      <c r="B31" t="s">
        <v>167</v>
      </c>
      <c r="C31" t="s">
        <v>302</v>
      </c>
    </row>
    <row r="32" spans="2:3">
      <c r="B32" t="s">
        <v>178</v>
      </c>
      <c r="C32" t="s">
        <v>304</v>
      </c>
    </row>
    <row r="33" spans="2:3">
      <c r="B33" t="s">
        <v>196</v>
      </c>
      <c r="C33" t="s">
        <v>304</v>
      </c>
    </row>
    <row r="34" spans="2:3">
      <c r="B34" t="s">
        <v>191</v>
      </c>
      <c r="C34" t="s">
        <v>304</v>
      </c>
    </row>
    <row r="35" spans="2:3">
      <c r="B35" t="s">
        <v>160</v>
      </c>
      <c r="C35" t="s">
        <v>304</v>
      </c>
    </row>
    <row r="36" spans="2:3">
      <c r="B36" t="s">
        <v>160</v>
      </c>
      <c r="C36" t="s">
        <v>304</v>
      </c>
    </row>
    <row r="37" spans="2:3">
      <c r="B37" t="s">
        <v>160</v>
      </c>
      <c r="C37" t="s">
        <v>304</v>
      </c>
    </row>
    <row r="38" spans="2:3">
      <c r="B38" t="s">
        <v>305</v>
      </c>
      <c r="C38" t="s">
        <v>304</v>
      </c>
    </row>
    <row r="39" spans="2:3">
      <c r="B39" t="s">
        <v>305</v>
      </c>
      <c r="C39" t="s">
        <v>304</v>
      </c>
    </row>
    <row r="40" spans="2:3">
      <c r="B40" t="s">
        <v>175</v>
      </c>
      <c r="C40" t="s">
        <v>306</v>
      </c>
    </row>
    <row r="41" spans="2:3">
      <c r="B41" t="s">
        <v>175</v>
      </c>
      <c r="C41" t="s">
        <v>306</v>
      </c>
    </row>
    <row r="42" spans="2:3">
      <c r="B42" t="s">
        <v>151</v>
      </c>
      <c r="C42" t="s">
        <v>306</v>
      </c>
    </row>
    <row r="43" spans="2:3">
      <c r="B43" t="s">
        <v>151</v>
      </c>
      <c r="C43" t="s">
        <v>306</v>
      </c>
    </row>
    <row r="44" spans="2:3">
      <c r="B44" t="s">
        <v>151</v>
      </c>
      <c r="C44" t="s">
        <v>306</v>
      </c>
    </row>
    <row r="45" spans="2:3">
      <c r="B45" t="s">
        <v>151</v>
      </c>
      <c r="C45" t="s">
        <v>306</v>
      </c>
    </row>
    <row r="46" spans="2:3">
      <c r="B46" t="s">
        <v>104</v>
      </c>
      <c r="C46" t="s">
        <v>307</v>
      </c>
    </row>
    <row r="47" spans="2:3">
      <c r="B47" t="s">
        <v>173</v>
      </c>
      <c r="C47" t="s">
        <v>308</v>
      </c>
    </row>
    <row r="48" spans="2:3">
      <c r="B48" t="s">
        <v>173</v>
      </c>
      <c r="C48" t="s">
        <v>308</v>
      </c>
    </row>
    <row r="49" spans="2:3">
      <c r="B49" t="s">
        <v>173</v>
      </c>
      <c r="C49" t="s">
        <v>308</v>
      </c>
    </row>
    <row r="50" spans="2:3">
      <c r="B50" t="s">
        <v>161</v>
      </c>
      <c r="C50" t="s">
        <v>309</v>
      </c>
    </row>
    <row r="51" spans="2:3">
      <c r="B51" t="s">
        <v>161</v>
      </c>
      <c r="C51" t="s">
        <v>309</v>
      </c>
    </row>
    <row r="52" spans="2:3">
      <c r="B52" t="s">
        <v>177</v>
      </c>
      <c r="C52" t="s">
        <v>309</v>
      </c>
    </row>
    <row r="53" spans="2:3">
      <c r="B53" t="s">
        <v>177</v>
      </c>
      <c r="C53" t="s">
        <v>309</v>
      </c>
    </row>
    <row r="54" spans="2:3">
      <c r="B54" t="s">
        <v>177</v>
      </c>
      <c r="C54" t="s">
        <v>309</v>
      </c>
    </row>
    <row r="55" spans="2:3">
      <c r="B55" t="s">
        <v>174</v>
      </c>
      <c r="C55" t="s">
        <v>309</v>
      </c>
    </row>
    <row r="56" spans="2:3">
      <c r="B56" t="s">
        <v>174</v>
      </c>
      <c r="C56" t="s">
        <v>309</v>
      </c>
    </row>
    <row r="57" spans="2:3">
      <c r="B57" t="s">
        <v>182</v>
      </c>
      <c r="C57" t="s">
        <v>309</v>
      </c>
    </row>
    <row r="58" spans="2:3">
      <c r="B58" t="s">
        <v>182</v>
      </c>
      <c r="C58" t="s">
        <v>309</v>
      </c>
    </row>
    <row r="59" spans="2:3">
      <c r="B59" t="s">
        <v>174</v>
      </c>
      <c r="C59" t="s">
        <v>309</v>
      </c>
    </row>
    <row r="60" spans="2:3">
      <c r="B60" t="s">
        <v>176</v>
      </c>
      <c r="C60" t="s">
        <v>309</v>
      </c>
    </row>
    <row r="61" spans="2:3">
      <c r="B61" t="s">
        <v>310</v>
      </c>
      <c r="C61" t="s">
        <v>302</v>
      </c>
    </row>
    <row r="62" spans="2:3">
      <c r="B62" t="s">
        <v>169</v>
      </c>
      <c r="C62" t="s">
        <v>311</v>
      </c>
    </row>
    <row r="63" spans="2:3">
      <c r="B63" t="s">
        <v>169</v>
      </c>
      <c r="C63" t="s">
        <v>311</v>
      </c>
    </row>
    <row r="64" spans="2:3">
      <c r="B64" t="s">
        <v>186</v>
      </c>
      <c r="C64" t="s">
        <v>311</v>
      </c>
    </row>
    <row r="65" spans="2:3">
      <c r="B65" t="s">
        <v>186</v>
      </c>
      <c r="C65" t="s">
        <v>311</v>
      </c>
    </row>
    <row r="66" spans="2:3">
      <c r="B66" t="s">
        <v>170</v>
      </c>
      <c r="C66" t="s">
        <v>312</v>
      </c>
    </row>
    <row r="67" spans="2:3">
      <c r="B67" t="s">
        <v>170</v>
      </c>
      <c r="C67" t="s">
        <v>312</v>
      </c>
    </row>
    <row r="68" spans="2:3">
      <c r="B68" t="s">
        <v>192</v>
      </c>
      <c r="C68" t="s">
        <v>312</v>
      </c>
    </row>
    <row r="69" spans="2:3">
      <c r="B69" t="s">
        <v>192</v>
      </c>
      <c r="C69" t="s">
        <v>312</v>
      </c>
    </row>
    <row r="70" spans="2:3">
      <c r="B70" t="s">
        <v>159</v>
      </c>
      <c r="C70" t="s">
        <v>312</v>
      </c>
    </row>
    <row r="71" spans="2:3">
      <c r="B71" t="s">
        <v>195</v>
      </c>
      <c r="C71" t="s">
        <v>312</v>
      </c>
    </row>
    <row r="72" spans="2:3">
      <c r="B72" t="s">
        <v>189</v>
      </c>
      <c r="C72" t="s">
        <v>312</v>
      </c>
    </row>
    <row r="73" spans="2:3">
      <c r="B73" t="s">
        <v>157</v>
      </c>
      <c r="C73" t="s">
        <v>304</v>
      </c>
    </row>
    <row r="74" spans="2:3">
      <c r="B74" t="s">
        <v>157</v>
      </c>
      <c r="C74" t="s">
        <v>304</v>
      </c>
    </row>
    <row r="75" spans="2:3">
      <c r="B75" t="s">
        <v>157</v>
      </c>
      <c r="C75" t="s">
        <v>304</v>
      </c>
    </row>
    <row r="76" spans="2:3">
      <c r="B76" t="s">
        <v>157</v>
      </c>
      <c r="C76" t="s">
        <v>304</v>
      </c>
    </row>
    <row r="77" spans="2:3">
      <c r="B77" t="s">
        <v>184</v>
      </c>
      <c r="C77" t="s">
        <v>304</v>
      </c>
    </row>
    <row r="78" spans="2:3">
      <c r="B78" t="s">
        <v>314</v>
      </c>
      <c r="C78" t="s">
        <v>313</v>
      </c>
    </row>
    <row r="79" spans="2:3">
      <c r="B79" t="s">
        <v>172</v>
      </c>
      <c r="C79" t="s">
        <v>313</v>
      </c>
    </row>
    <row r="80" spans="2:3">
      <c r="B80" t="s">
        <v>185</v>
      </c>
      <c r="C80" t="s">
        <v>303</v>
      </c>
    </row>
    <row r="81" spans="2:3">
      <c r="B81" t="s">
        <v>178</v>
      </c>
      <c r="C81" t="s">
        <v>304</v>
      </c>
    </row>
    <row r="82" spans="2:3">
      <c r="B82" t="s">
        <v>184</v>
      </c>
      <c r="C82" t="s">
        <v>315</v>
      </c>
    </row>
    <row r="83" spans="2:3">
      <c r="B83" t="s">
        <v>184</v>
      </c>
      <c r="C83" t="s">
        <v>315</v>
      </c>
    </row>
    <row r="84" spans="2:3">
      <c r="B84" t="s">
        <v>184</v>
      </c>
      <c r="C84" t="s">
        <v>315</v>
      </c>
    </row>
    <row r="85" spans="2:3">
      <c r="B85" t="s">
        <v>184</v>
      </c>
      <c r="C85" t="s">
        <v>315</v>
      </c>
    </row>
    <row r="86" spans="2:3">
      <c r="B86" t="s">
        <v>184</v>
      </c>
      <c r="C86" t="s">
        <v>315</v>
      </c>
    </row>
    <row r="87" spans="2:3">
      <c r="B87" t="s">
        <v>180</v>
      </c>
      <c r="C87" t="s">
        <v>306</v>
      </c>
    </row>
    <row r="88" spans="2:3">
      <c r="B88" t="s">
        <v>316</v>
      </c>
      <c r="C88" t="s">
        <v>304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82"/>
  <sheetViews>
    <sheetView topLeftCell="A48" workbookViewId="0">
      <selection activeCell="F11" sqref="F11"/>
    </sheetView>
  </sheetViews>
  <sheetFormatPr defaultRowHeight="16.5"/>
  <sheetData>
    <row r="2" spans="1:3">
      <c r="A2" t="s">
        <v>7</v>
      </c>
      <c r="B2" t="s">
        <v>8</v>
      </c>
      <c r="C2" t="s">
        <v>317</v>
      </c>
    </row>
    <row r="3" spans="1:3">
      <c r="A3" t="s">
        <v>9</v>
      </c>
      <c r="B3" t="s">
        <v>10</v>
      </c>
      <c r="C3" t="s">
        <v>318</v>
      </c>
    </row>
    <row r="4" spans="1:3">
      <c r="A4" t="s">
        <v>11</v>
      </c>
      <c r="B4" t="s">
        <v>12</v>
      </c>
      <c r="C4" t="s">
        <v>319</v>
      </c>
    </row>
    <row r="5" spans="1:3">
      <c r="A5" t="s">
        <v>13</v>
      </c>
      <c r="B5" t="s">
        <v>14</v>
      </c>
      <c r="C5" t="s">
        <v>320</v>
      </c>
    </row>
    <row r="6" spans="1:3">
      <c r="A6" t="s">
        <v>15</v>
      </c>
      <c r="B6" t="s">
        <v>16</v>
      </c>
      <c r="C6" t="s">
        <v>321</v>
      </c>
    </row>
    <row r="7" spans="1:3">
      <c r="A7" t="s">
        <v>17</v>
      </c>
      <c r="B7" t="s">
        <v>18</v>
      </c>
      <c r="C7" t="s">
        <v>322</v>
      </c>
    </row>
    <row r="8" spans="1:3">
      <c r="A8" t="s">
        <v>19</v>
      </c>
      <c r="B8" t="s">
        <v>20</v>
      </c>
      <c r="C8" t="s">
        <v>323</v>
      </c>
    </row>
    <row r="9" spans="1:3">
      <c r="A9" t="s">
        <v>21</v>
      </c>
      <c r="B9" t="s">
        <v>22</v>
      </c>
      <c r="C9" t="s">
        <v>324</v>
      </c>
    </row>
    <row r="10" spans="1:3">
      <c r="A10" t="s">
        <v>23</v>
      </c>
      <c r="B10" t="s">
        <v>24</v>
      </c>
      <c r="C10" t="s">
        <v>325</v>
      </c>
    </row>
    <row r="11" spans="1:3">
      <c r="A11" t="s">
        <v>25</v>
      </c>
      <c r="B11" t="s">
        <v>26</v>
      </c>
      <c r="C11" t="s">
        <v>326</v>
      </c>
    </row>
    <row r="12" spans="1:3">
      <c r="A12" t="s">
        <v>27</v>
      </c>
      <c r="B12" t="s">
        <v>28</v>
      </c>
      <c r="C12" t="s">
        <v>327</v>
      </c>
    </row>
    <row r="13" spans="1:3">
      <c r="A13" t="s">
        <v>29</v>
      </c>
      <c r="B13" t="s">
        <v>30</v>
      </c>
      <c r="C13" t="s">
        <v>328</v>
      </c>
    </row>
    <row r="14" spans="1:3">
      <c r="A14" t="s">
        <v>31</v>
      </c>
      <c r="B14" t="s">
        <v>32</v>
      </c>
      <c r="C14" t="s">
        <v>329</v>
      </c>
    </row>
    <row r="15" spans="1:3">
      <c r="A15" t="s">
        <v>33</v>
      </c>
      <c r="B15" t="s">
        <v>34</v>
      </c>
      <c r="C15" t="s">
        <v>330</v>
      </c>
    </row>
    <row r="16" spans="1:3">
      <c r="A16" t="s">
        <v>35</v>
      </c>
      <c r="B16" t="s">
        <v>36</v>
      </c>
      <c r="C16" t="s">
        <v>331</v>
      </c>
    </row>
    <row r="17" spans="1:3">
      <c r="A17" t="s">
        <v>37</v>
      </c>
      <c r="B17" t="s">
        <v>38</v>
      </c>
      <c r="C17" t="s">
        <v>332</v>
      </c>
    </row>
    <row r="18" spans="1:3">
      <c r="A18" t="s">
        <v>39</v>
      </c>
      <c r="B18" t="s">
        <v>40</v>
      </c>
      <c r="C18" t="s">
        <v>333</v>
      </c>
    </row>
    <row r="19" spans="1:3">
      <c r="A19" t="s">
        <v>41</v>
      </c>
      <c r="B19" t="s">
        <v>42</v>
      </c>
      <c r="C19" t="s">
        <v>334</v>
      </c>
    </row>
    <row r="20" spans="1:3">
      <c r="A20" t="s">
        <v>43</v>
      </c>
      <c r="B20" t="s">
        <v>44</v>
      </c>
      <c r="C20" t="s">
        <v>335</v>
      </c>
    </row>
    <row r="21" spans="1:3">
      <c r="A21" t="s">
        <v>45</v>
      </c>
      <c r="B21" t="s">
        <v>46</v>
      </c>
      <c r="C21" t="s">
        <v>336</v>
      </c>
    </row>
    <row r="22" spans="1:3">
      <c r="A22" t="s">
        <v>47</v>
      </c>
      <c r="B22" t="s">
        <v>48</v>
      </c>
      <c r="C22" t="s">
        <v>337</v>
      </c>
    </row>
    <row r="23" spans="1:3">
      <c r="A23" t="s">
        <v>49</v>
      </c>
      <c r="B23" t="s">
        <v>50</v>
      </c>
      <c r="C23" t="s">
        <v>338</v>
      </c>
    </row>
    <row r="24" spans="1:3">
      <c r="A24" t="s">
        <v>51</v>
      </c>
      <c r="B24" t="s">
        <v>52</v>
      </c>
      <c r="C24" t="s">
        <v>339</v>
      </c>
    </row>
    <row r="25" spans="1:3">
      <c r="A25" t="s">
        <v>53</v>
      </c>
      <c r="B25" t="s">
        <v>54</v>
      </c>
      <c r="C25" t="s">
        <v>340</v>
      </c>
    </row>
    <row r="26" spans="1:3">
      <c r="A26" t="s">
        <v>55</v>
      </c>
      <c r="B26" t="s">
        <v>56</v>
      </c>
      <c r="C26" t="s">
        <v>341</v>
      </c>
    </row>
    <row r="27" spans="1:3">
      <c r="A27" t="s">
        <v>57</v>
      </c>
      <c r="B27" t="s">
        <v>58</v>
      </c>
      <c r="C27" t="s">
        <v>342</v>
      </c>
    </row>
    <row r="28" spans="1:3">
      <c r="A28" t="s">
        <v>59</v>
      </c>
      <c r="B28" t="s">
        <v>60</v>
      </c>
      <c r="C28" t="s">
        <v>343</v>
      </c>
    </row>
    <row r="29" spans="1:3">
      <c r="A29" t="s">
        <v>61</v>
      </c>
      <c r="B29" t="s">
        <v>62</v>
      </c>
      <c r="C29" t="s">
        <v>344</v>
      </c>
    </row>
    <row r="30" spans="1:3">
      <c r="A30" t="s">
        <v>63</v>
      </c>
      <c r="B30" t="s">
        <v>64</v>
      </c>
      <c r="C30" t="s">
        <v>345</v>
      </c>
    </row>
    <row r="31" spans="1:3">
      <c r="A31" t="s">
        <v>65</v>
      </c>
      <c r="B31" t="s">
        <v>66</v>
      </c>
      <c r="C31" t="s">
        <v>346</v>
      </c>
    </row>
    <row r="32" spans="1:3">
      <c r="A32" t="s">
        <v>67</v>
      </c>
      <c r="B32" t="s">
        <v>68</v>
      </c>
      <c r="C32" t="s">
        <v>347</v>
      </c>
    </row>
    <row r="33" spans="1:3">
      <c r="A33" t="s">
        <v>69</v>
      </c>
      <c r="B33" t="s">
        <v>70</v>
      </c>
      <c r="C33" t="s">
        <v>348</v>
      </c>
    </row>
    <row r="34" spans="1:3">
      <c r="A34" t="s">
        <v>71</v>
      </c>
      <c r="B34" t="s">
        <v>72</v>
      </c>
      <c r="C34" t="s">
        <v>349</v>
      </c>
    </row>
    <row r="35" spans="1:3">
      <c r="A35" t="s">
        <v>73</v>
      </c>
      <c r="B35" t="s">
        <v>68</v>
      </c>
      <c r="C35" t="s">
        <v>350</v>
      </c>
    </row>
    <row r="36" spans="1:3">
      <c r="A36" t="s">
        <v>74</v>
      </c>
      <c r="B36" t="s">
        <v>18</v>
      </c>
      <c r="C36" t="s">
        <v>351</v>
      </c>
    </row>
    <row r="37" spans="1:3">
      <c r="A37" t="s">
        <v>75</v>
      </c>
      <c r="B37" t="s">
        <v>76</v>
      </c>
      <c r="C37" t="s">
        <v>352</v>
      </c>
    </row>
    <row r="38" spans="1:3">
      <c r="A38" t="s">
        <v>77</v>
      </c>
      <c r="B38" t="s">
        <v>78</v>
      </c>
      <c r="C38" t="s">
        <v>353</v>
      </c>
    </row>
    <row r="39" spans="1:3">
      <c r="A39" t="s">
        <v>6</v>
      </c>
      <c r="B39" t="s">
        <v>79</v>
      </c>
      <c r="C39" t="s">
        <v>354</v>
      </c>
    </row>
    <row r="40" spans="1:3">
      <c r="A40" t="s">
        <v>80</v>
      </c>
      <c r="B40" t="s">
        <v>81</v>
      </c>
      <c r="C40" t="s">
        <v>355</v>
      </c>
    </row>
    <row r="41" spans="1:3">
      <c r="A41" t="s">
        <v>82</v>
      </c>
      <c r="B41" t="s">
        <v>83</v>
      </c>
      <c r="C41" t="s">
        <v>356</v>
      </c>
    </row>
    <row r="42" spans="1:3">
      <c r="A42" t="s">
        <v>84</v>
      </c>
      <c r="B42" t="s">
        <v>85</v>
      </c>
      <c r="C42" t="s">
        <v>357</v>
      </c>
    </row>
    <row r="43" spans="1:3">
      <c r="A43" t="s">
        <v>86</v>
      </c>
      <c r="B43" t="s">
        <v>87</v>
      </c>
      <c r="C43" t="s">
        <v>358</v>
      </c>
    </row>
    <row r="44" spans="1:3">
      <c r="A44" t="s">
        <v>88</v>
      </c>
      <c r="B44" t="s">
        <v>89</v>
      </c>
      <c r="C44" t="s">
        <v>359</v>
      </c>
    </row>
    <row r="45" spans="1:3">
      <c r="A45" t="s">
        <v>90</v>
      </c>
      <c r="B45" t="s">
        <v>91</v>
      </c>
      <c r="C45" t="s">
        <v>360</v>
      </c>
    </row>
    <row r="46" spans="1:3">
      <c r="A46" t="s">
        <v>92</v>
      </c>
      <c r="B46" t="s">
        <v>93</v>
      </c>
      <c r="C46" t="s">
        <v>361</v>
      </c>
    </row>
    <row r="47" spans="1:3">
      <c r="A47" t="s">
        <v>94</v>
      </c>
      <c r="B47" t="s">
        <v>95</v>
      </c>
      <c r="C47" t="s">
        <v>362</v>
      </c>
    </row>
    <row r="48" spans="1:3">
      <c r="A48" t="s">
        <v>96</v>
      </c>
      <c r="B48" t="s">
        <v>97</v>
      </c>
      <c r="C48" t="s">
        <v>363</v>
      </c>
    </row>
    <row r="49" spans="1:3">
      <c r="A49" t="s">
        <v>98</v>
      </c>
      <c r="B49" t="s">
        <v>99</v>
      </c>
      <c r="C49" t="s">
        <v>364</v>
      </c>
    </row>
    <row r="50" spans="1:3">
      <c r="A50" t="s">
        <v>100</v>
      </c>
      <c r="B50" t="s">
        <v>101</v>
      </c>
      <c r="C50" t="s">
        <v>365</v>
      </c>
    </row>
    <row r="51" spans="1:3">
      <c r="A51" t="s">
        <v>102</v>
      </c>
      <c r="B51" t="s">
        <v>103</v>
      </c>
      <c r="C51" t="s">
        <v>366</v>
      </c>
    </row>
    <row r="52" spans="1:3">
      <c r="A52" t="s">
        <v>104</v>
      </c>
      <c r="B52" t="s">
        <v>105</v>
      </c>
      <c r="C52" t="s">
        <v>367</v>
      </c>
    </row>
    <row r="53" spans="1:3">
      <c r="A53" t="s">
        <v>106</v>
      </c>
      <c r="B53" t="s">
        <v>78</v>
      </c>
      <c r="C53" t="s">
        <v>368</v>
      </c>
    </row>
    <row r="54" spans="1:3">
      <c r="A54" t="s">
        <v>107</v>
      </c>
      <c r="B54" t="s">
        <v>108</v>
      </c>
      <c r="C54" t="s">
        <v>369</v>
      </c>
    </row>
    <row r="55" spans="1:3">
      <c r="A55" t="s">
        <v>109</v>
      </c>
      <c r="B55" t="s">
        <v>20</v>
      </c>
      <c r="C55" t="s">
        <v>370</v>
      </c>
    </row>
    <row r="56" spans="1:3">
      <c r="A56" t="s">
        <v>110</v>
      </c>
      <c r="B56" t="s">
        <v>111</v>
      </c>
      <c r="C56" t="s">
        <v>371</v>
      </c>
    </row>
    <row r="57" spans="1:3">
      <c r="A57" t="s">
        <v>112</v>
      </c>
      <c r="B57" t="s">
        <v>113</v>
      </c>
      <c r="C57" t="s">
        <v>372</v>
      </c>
    </row>
    <row r="58" spans="1:3">
      <c r="A58" t="s">
        <v>114</v>
      </c>
      <c r="B58" t="s">
        <v>115</v>
      </c>
      <c r="C58" t="s">
        <v>373</v>
      </c>
    </row>
    <row r="59" spans="1:3">
      <c r="A59" t="s">
        <v>116</v>
      </c>
      <c r="B59" t="s">
        <v>117</v>
      </c>
      <c r="C59" t="s">
        <v>374</v>
      </c>
    </row>
    <row r="60" spans="1:3">
      <c r="A60" t="s">
        <v>118</v>
      </c>
      <c r="B60" t="s">
        <v>119</v>
      </c>
      <c r="C60" t="s">
        <v>375</v>
      </c>
    </row>
    <row r="61" spans="1:3">
      <c r="A61" t="s">
        <v>120</v>
      </c>
      <c r="B61" t="s">
        <v>121</v>
      </c>
      <c r="C61" t="s">
        <v>376</v>
      </c>
    </row>
    <row r="62" spans="1:3">
      <c r="A62" t="s">
        <v>122</v>
      </c>
      <c r="B62" t="s">
        <v>123</v>
      </c>
      <c r="C62" t="s">
        <v>377</v>
      </c>
    </row>
    <row r="63" spans="1:3">
      <c r="A63" t="s">
        <v>124</v>
      </c>
      <c r="B63" t="s">
        <v>125</v>
      </c>
      <c r="C63" t="s">
        <v>378</v>
      </c>
    </row>
    <row r="64" spans="1:3">
      <c r="A64" t="s">
        <v>126</v>
      </c>
      <c r="B64" t="s">
        <v>127</v>
      </c>
      <c r="C64" t="s">
        <v>379</v>
      </c>
    </row>
    <row r="65" spans="1:3">
      <c r="A65" t="s">
        <v>128</v>
      </c>
      <c r="B65" t="s">
        <v>129</v>
      </c>
      <c r="C65" t="s">
        <v>380</v>
      </c>
    </row>
    <row r="66" spans="1:3">
      <c r="A66" t="s">
        <v>130</v>
      </c>
      <c r="B66" t="s">
        <v>131</v>
      </c>
      <c r="C66" t="s">
        <v>381</v>
      </c>
    </row>
    <row r="67" spans="1:3">
      <c r="A67" t="s">
        <v>132</v>
      </c>
      <c r="B67" t="s">
        <v>133</v>
      </c>
      <c r="C67" t="s">
        <v>382</v>
      </c>
    </row>
    <row r="68" spans="1:3">
      <c r="A68" t="s">
        <v>134</v>
      </c>
      <c r="B68" t="s">
        <v>135</v>
      </c>
      <c r="C68" t="s">
        <v>158</v>
      </c>
    </row>
    <row r="69" spans="1:3">
      <c r="A69" t="s">
        <v>136</v>
      </c>
      <c r="B69" t="s">
        <v>137</v>
      </c>
      <c r="C69" t="s">
        <v>383</v>
      </c>
    </row>
    <row r="70" spans="1:3">
      <c r="A70" t="s">
        <v>138</v>
      </c>
      <c r="B70" t="s">
        <v>139</v>
      </c>
      <c r="C70" t="s">
        <v>384</v>
      </c>
    </row>
    <row r="71" spans="1:3">
      <c r="A71" t="s">
        <v>140</v>
      </c>
      <c r="B71" t="s">
        <v>141</v>
      </c>
      <c r="C71" t="s">
        <v>385</v>
      </c>
    </row>
    <row r="72" spans="1:3">
      <c r="A72" t="s">
        <v>142</v>
      </c>
      <c r="B72" t="s">
        <v>143</v>
      </c>
      <c r="C72" t="s">
        <v>386</v>
      </c>
    </row>
    <row r="73" spans="1:3">
      <c r="A73" t="s">
        <v>144</v>
      </c>
      <c r="B73" t="s">
        <v>145</v>
      </c>
      <c r="C73" t="s">
        <v>387</v>
      </c>
    </row>
    <row r="74" spans="1:3">
      <c r="A74" t="s">
        <v>146</v>
      </c>
      <c r="B74" t="s">
        <v>105</v>
      </c>
      <c r="C74" t="s">
        <v>388</v>
      </c>
    </row>
    <row r="75" spans="1:3">
      <c r="A75" t="s">
        <v>147</v>
      </c>
      <c r="B75" t="s">
        <v>148</v>
      </c>
      <c r="C75" t="s">
        <v>389</v>
      </c>
    </row>
    <row r="76" spans="1:3">
      <c r="A76" t="s">
        <v>149</v>
      </c>
      <c r="B76" t="s">
        <v>150</v>
      </c>
      <c r="C76" t="s">
        <v>250</v>
      </c>
    </row>
    <row r="77" spans="1:3">
      <c r="A77" t="s">
        <v>197</v>
      </c>
      <c r="B77" t="s">
        <v>198</v>
      </c>
      <c r="C77" t="s">
        <v>390</v>
      </c>
    </row>
    <row r="78" spans="1:3">
      <c r="A78" t="s">
        <v>199</v>
      </c>
      <c r="B78" t="s">
        <v>198</v>
      </c>
      <c r="C78" t="s">
        <v>391</v>
      </c>
    </row>
    <row r="79" spans="1:3">
      <c r="A79" t="s">
        <v>200</v>
      </c>
      <c r="B79" t="s">
        <v>198</v>
      </c>
      <c r="C79" t="s">
        <v>392</v>
      </c>
    </row>
    <row r="80" spans="1:3">
      <c r="A80" t="s">
        <v>201</v>
      </c>
      <c r="B80" t="s">
        <v>202</v>
      </c>
      <c r="C80" t="s">
        <v>393</v>
      </c>
    </row>
    <row r="81" spans="1:3">
      <c r="A81" t="s">
        <v>203</v>
      </c>
      <c r="B81" t="s">
        <v>204</v>
      </c>
    </row>
    <row r="82" spans="1:3">
      <c r="A82" t="s">
        <v>205</v>
      </c>
      <c r="B82" t="s">
        <v>42</v>
      </c>
      <c r="C82" t="s">
        <v>394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G7:L20"/>
  <sheetViews>
    <sheetView workbookViewId="0">
      <selection activeCell="F29" sqref="F29"/>
    </sheetView>
  </sheetViews>
  <sheetFormatPr defaultRowHeight="16.5"/>
  <cols>
    <col min="8" max="8" width="13" bestFit="1" customWidth="1"/>
    <col min="9" max="9" width="11" bestFit="1" customWidth="1"/>
    <col min="10" max="10" width="9.375" bestFit="1" customWidth="1"/>
  </cols>
  <sheetData>
    <row r="7" spans="7:12">
      <c r="G7" s="17"/>
      <c r="H7" s="17" t="s">
        <v>403</v>
      </c>
      <c r="I7" s="17" t="s">
        <v>404</v>
      </c>
      <c r="J7" s="17" t="s">
        <v>407</v>
      </c>
    </row>
    <row r="8" spans="7:12">
      <c r="G8" s="17" t="s">
        <v>401</v>
      </c>
      <c r="H8" s="18">
        <f>30000-I18</f>
        <v>11272</v>
      </c>
      <c r="I8" s="19" t="s">
        <v>406</v>
      </c>
      <c r="J8" s="141">
        <v>59544</v>
      </c>
    </row>
    <row r="9" spans="7:12">
      <c r="G9" s="17" t="s">
        <v>402</v>
      </c>
      <c r="H9" s="18">
        <f>30000-I19</f>
        <v>11272</v>
      </c>
      <c r="I9" s="19" t="s">
        <v>406</v>
      </c>
      <c r="J9" s="142"/>
    </row>
    <row r="10" spans="7:12">
      <c r="G10" s="17" t="s">
        <v>405</v>
      </c>
      <c r="H10" s="18">
        <v>136000</v>
      </c>
      <c r="I10" s="18">
        <v>99000</v>
      </c>
      <c r="J10" s="143"/>
    </row>
    <row r="12" spans="7:12">
      <c r="L12">
        <v>37000</v>
      </c>
    </row>
    <row r="17" spans="7:11">
      <c r="G17" s="14"/>
      <c r="H17" s="14" t="s">
        <v>397</v>
      </c>
      <c r="I17" s="14" t="s">
        <v>399</v>
      </c>
      <c r="J17" s="14" t="s">
        <v>398</v>
      </c>
      <c r="K17" s="14" t="s">
        <v>400</v>
      </c>
    </row>
    <row r="18" spans="7:11">
      <c r="G18" s="14" t="s">
        <v>395</v>
      </c>
      <c r="H18" s="15">
        <v>62400</v>
      </c>
      <c r="I18" s="15">
        <v>18728</v>
      </c>
      <c r="J18" s="15">
        <v>0</v>
      </c>
      <c r="K18" s="16">
        <f>SUM(H18:J18)</f>
        <v>81128</v>
      </c>
    </row>
    <row r="19" spans="7:11">
      <c r="G19" s="14" t="s">
        <v>396</v>
      </c>
      <c r="H19" s="15">
        <v>62400</v>
      </c>
      <c r="I19" s="15">
        <v>18728</v>
      </c>
      <c r="J19" s="15">
        <v>3500</v>
      </c>
      <c r="K19" s="16">
        <f>SUM(H19:J19)</f>
        <v>84628</v>
      </c>
    </row>
    <row r="20" spans="7:11">
      <c r="G20" s="13"/>
      <c r="H20" s="13"/>
      <c r="I20" s="13"/>
      <c r="J20" s="13"/>
    </row>
  </sheetData>
  <mergeCells count="1">
    <mergeCell ref="J8:J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교통비</vt:lpstr>
      <vt:lpstr>Sheet2</vt:lpstr>
      <vt:lpstr>Sheet1</vt:lpstr>
      <vt:lpstr>Sheet3</vt:lpstr>
      <vt:lpstr>Sheet4</vt:lpstr>
      <vt:lpstr>교통비!Print_Area</vt:lpstr>
      <vt:lpstr>교통비!Print_Titles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DnCom</dc:creator>
  <cp:lastModifiedBy>시온 이</cp:lastModifiedBy>
  <cp:lastPrinted>2019-09-09T03:35:03Z</cp:lastPrinted>
  <dcterms:created xsi:type="dcterms:W3CDTF">2018-09-03T00:12:08Z</dcterms:created>
  <dcterms:modified xsi:type="dcterms:W3CDTF">2026-03-11T05:09:04Z</dcterms:modified>
</cp:coreProperties>
</file>